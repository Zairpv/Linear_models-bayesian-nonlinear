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ra\Documents\01. PhD en Ciencias Forestales\1. Cursos\3. Verano\EST-642 - Modelos lineales\Ejercicios de clase\"/>
    </mc:Choice>
  </mc:AlternateContent>
  <xr:revisionPtr revIDLastSave="0" documentId="8_{C5FA85CB-5939-451A-8614-BD72E1AEA008}" xr6:coauthVersionLast="47" xr6:coauthVersionMax="47" xr10:uidLastSave="{00000000-0000-0000-0000-000000000000}"/>
  <bookViews>
    <workbookView xWindow="8070" yWindow="480" windowWidth="12390" windowHeight="10815" xr2:uid="{939D607D-DA6F-4AB6-BC78-6C7B7CF1065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7" i="1" l="1" a="1"/>
  <c r="B77" i="1" s="1"/>
  <c r="B69" i="1" a="1"/>
  <c r="B69" i="1" s="1"/>
  <c r="B61" i="1" a="1"/>
  <c r="B61" i="1" s="1"/>
  <c r="B45" i="1" a="1"/>
  <c r="B45" i="1" s="1"/>
  <c r="B53" i="1" s="1" a="1"/>
  <c r="B5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<sst xmlns="http://schemas.openxmlformats.org/spreadsheetml/2006/main" count="98" uniqueCount="85">
  <si>
    <t>Vaca</t>
  </si>
  <si>
    <t>Kg prot</t>
  </si>
  <si>
    <t>Calif tipo</t>
  </si>
  <si>
    <t>Tasa no-retorno</t>
  </si>
  <si>
    <t>Velocidad ordeño</t>
  </si>
  <si>
    <t>Calif celulas somaticas</t>
  </si>
  <si>
    <t>Margen bruto</t>
  </si>
  <si>
    <t xml:space="preserve">Paso 1. </t>
  </si>
  <si>
    <t>Definir variables y modelo</t>
  </si>
  <si>
    <t xml:space="preserve">Paso 2. </t>
  </si>
  <si>
    <t>Crear matriz diseño</t>
  </si>
  <si>
    <t>Y_i</t>
  </si>
  <si>
    <t>x_1</t>
  </si>
  <si>
    <t>x_2</t>
  </si>
  <si>
    <t>x_3</t>
  </si>
  <si>
    <t>x_4</t>
  </si>
  <si>
    <t>x_5</t>
  </si>
  <si>
    <t>Tasa no retorno</t>
  </si>
  <si>
    <t>velocidad de ordeño</t>
  </si>
  <si>
    <t>calif celulas somaticas</t>
  </si>
  <si>
    <t>Kg proteina</t>
  </si>
  <si>
    <t>Yi=mu + b1P + b2 TNR + b3 VO + b4 CCS + ei</t>
  </si>
  <si>
    <t>Y</t>
  </si>
  <si>
    <t>MU</t>
  </si>
  <si>
    <t>+</t>
  </si>
  <si>
    <t>errores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</si>
  <si>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</si>
  <si>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</si>
  <si>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</si>
  <si>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</si>
  <si>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</si>
  <si>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</si>
  <si>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</si>
  <si>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</si>
  <si>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</si>
  <si>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</si>
  <si>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Parametros</t>
  </si>
  <si>
    <t>mu</t>
  </si>
  <si>
    <t>b1</t>
  </si>
  <si>
    <t>b2</t>
  </si>
  <si>
    <t>b3</t>
  </si>
  <si>
    <t>b4</t>
  </si>
  <si>
    <t>=</t>
  </si>
  <si>
    <t>Paso 3. Obtener ecuaciones normales</t>
  </si>
  <si>
    <t>X'XB=X'Y</t>
  </si>
  <si>
    <t>EN</t>
  </si>
  <si>
    <t>Si X de rango completo</t>
  </si>
  <si>
    <t>B=(X'X)^-1 * X'Y</t>
  </si>
  <si>
    <t>Paso 4. Obtener X'</t>
  </si>
  <si>
    <t>Paso 5. Obtener X'X</t>
  </si>
  <si>
    <t>Paso 6. Obtener inversa: (X'X)^-1</t>
  </si>
  <si>
    <t>Paso 7. Obtener X'y</t>
  </si>
  <si>
    <t>Paso 8. Estimar Beta: (X'X)^-1 X'Y</t>
  </si>
  <si>
    <t>paso 9. Escribir la ecuación del modelo</t>
  </si>
  <si>
    <t>Yi = -4909.61 +  4.15868 X1 + 14.3354 X2 + 20.8331 X3 + 1.49396 X4 + 327-871 X5 + ei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</si>
  <si>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</si>
  <si>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</si>
  <si>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</si>
  <si>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</si>
  <si>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</si>
  <si>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</si>
  <si>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</si>
  <si>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</si>
  <si>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</si>
  <si>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</si>
  <si>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</si>
  <si>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</si>
  <si>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</si>
  <si>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</si>
  <si>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</si>
  <si>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</si>
  <si>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</si>
  <si>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</si>
  <si>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</si>
  <si>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</si>
  <si>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</si>
  <si>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</si>
  <si>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</si>
  <si>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</si>
  <si>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</si>
  <si>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</si>
  <si>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Margen bruto</t>
  </si>
  <si>
    <t>Residuals</t>
  </si>
  <si>
    <t>Para obtener automático en excel</t>
  </si>
  <si>
    <t>DATA - DATA ANALYSIS - REGRESION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</si>
</sst>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2" fillId="2" borderId="2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4B78-EA3B-4810-8A8F-5A4ECB458D8C}">
  <dimension ref="A1:I38"/>
  <sheetViews>
    <sheetView tabSelected="1" topLeftCell="A3" workbookViewId="0">
      <selection activeCell="B16" sqref="B16:B22"/>
    </sheetView>
  </sheetViews>
  <sheetFormatPr defaultRowHeight="15" x14ac:dyDescent="0.25"/>
  <cols>
    <col min="2" max="2" width="22.85546875" bestFit="1" customWidth="1"/>
    <col min="3" max="3" width="14.5703125" bestFit="1" customWidth="1"/>
    <col min="6" max="6" width="16.28515625" customWidth="1"/>
    <col min="7" max="9" width="12.7109375" bestFit="1" customWidth="1"/>
  </cols>
  <sheetData>
    <row r="1" spans="1:9" x14ac:dyDescent="0.25">
      <c r="A1" t="s">
        <v>55</v>
      </c>
    </row>
    <row r="2" spans="1:9" ht="15.75" thickBot="1" x14ac:dyDescent="0.3">
      <c r="F2" s="1" t="s">
        <v>83</v>
      </c>
    </row>
    <row r="3" spans="1:9" x14ac:dyDescent="0.25">
      <c r="A3" s="10" t="s">
        <v>56</v>
      </c>
      <c r="B3" s="10"/>
      <c r="F3" t="s">
        <v>84</v>
      </c>
    </row>
    <row r="4" spans="1:9" x14ac:dyDescent="0.25">
      <c r="A4" s="7" t="s">
        <v>57</v>
      </c>
      <c r="B4" s="7">
        <v>0.99797467149623376</v>
      </c>
    </row>
    <row r="5" spans="1:9" x14ac:dyDescent="0.25">
      <c r="A5" s="7" t="s">
        <v>58</v>
      </c>
      <c r="B5" s="7">
        <v>0.99595344494801574</v>
      </c>
    </row>
    <row r="6" spans="1:9" x14ac:dyDescent="0.25">
      <c r="A6" s="7" t="s">
        <v>59</v>
      </c>
      <c r="B6" s="7">
        <v>0.99089525113303534</v>
      </c>
    </row>
    <row r="7" spans="1:9" x14ac:dyDescent="0.25">
      <c r="A7" s="7" t="s">
        <v>60</v>
      </c>
      <c r="B7" s="7">
        <v>25.099239793504836</v>
      </c>
    </row>
    <row r="8" spans="1:9" ht="15.75" thickBot="1" x14ac:dyDescent="0.3">
      <c r="A8" s="8" t="s">
        <v>61</v>
      </c>
      <c r="B8" s="8">
        <v>10</v>
      </c>
    </row>
    <row r="10" spans="1:9" ht="15.75" thickBot="1" x14ac:dyDescent="0.3">
      <c r="A10" t="s">
        <v>62</v>
      </c>
    </row>
    <row r="11" spans="1:9" x14ac:dyDescent="0.25">
      <c r="A11" s="9"/>
      <c r="B11" s="9" t="s">
        <v>67</v>
      </c>
      <c r="C11" s="9" t="s">
        <v>68</v>
      </c>
      <c r="D11" s="9" t="s">
        <v>69</v>
      </c>
      <c r="E11" s="9" t="s">
        <v>70</v>
      </c>
      <c r="F11" s="9" t="s">
        <v>71</v>
      </c>
    </row>
    <row r="12" spans="1:9" x14ac:dyDescent="0.25">
      <c r="A12" s="7" t="s">
        <v>63</v>
      </c>
      <c r="B12" s="7">
        <v>5</v>
      </c>
      <c r="C12" s="7">
        <v>620204.2126471526</v>
      </c>
      <c r="D12" s="7">
        <v>124040.84252943052</v>
      </c>
      <c r="E12" s="7">
        <v>196.89902787006193</v>
      </c>
      <c r="F12" s="7">
        <v>7.1349238353691057E-5</v>
      </c>
    </row>
    <row r="13" spans="1:9" x14ac:dyDescent="0.25">
      <c r="A13" s="7" t="s">
        <v>64</v>
      </c>
      <c r="B13" s="7">
        <v>4</v>
      </c>
      <c r="C13" s="7">
        <v>2519.8873528474269</v>
      </c>
      <c r="D13" s="7">
        <v>629.97183821185672</v>
      </c>
      <c r="E13" s="7"/>
      <c r="F13" s="7"/>
    </row>
    <row r="14" spans="1:9" ht="15.75" thickBot="1" x14ac:dyDescent="0.3">
      <c r="A14" s="8" t="s">
        <v>65</v>
      </c>
      <c r="B14" s="8">
        <v>9</v>
      </c>
      <c r="C14" s="8">
        <v>622724.1</v>
      </c>
      <c r="D14" s="8"/>
      <c r="E14" s="8"/>
      <c r="F14" s="8"/>
    </row>
    <row r="15" spans="1:9" ht="15.75" thickBot="1" x14ac:dyDescent="0.3"/>
    <row r="16" spans="1:9" x14ac:dyDescent="0.25">
      <c r="A16" s="9"/>
      <c r="B16" s="11" t="s">
        <v>72</v>
      </c>
      <c r="C16" s="9" t="s">
        <v>60</v>
      </c>
      <c r="D16" s="9" t="s">
        <v>73</v>
      </c>
      <c r="E16" s="9" t="s">
        <v>74</v>
      </c>
      <c r="F16" s="9" t="s">
        <v>75</v>
      </c>
      <c r="G16" s="9" t="s">
        <v>76</v>
      </c>
      <c r="H16" s="9" t="s">
        <v>77</v>
      </c>
      <c r="I16" s="9" t="s">
        <v>78</v>
      </c>
    </row>
    <row r="17" spans="1:9" x14ac:dyDescent="0.25">
      <c r="A17" s="7" t="s">
        <v>66</v>
      </c>
      <c r="B17" s="12">
        <v>-4909.6115604734387</v>
      </c>
      <c r="C17" s="7">
        <v>213.71952468880252</v>
      </c>
      <c r="D17" s="7">
        <v>-22.972218226773315</v>
      </c>
      <c r="E17" s="7">
        <v>2.1275165593248151E-5</v>
      </c>
      <c r="F17" s="7">
        <v>-5502.9920886808632</v>
      </c>
      <c r="G17" s="7">
        <v>-4316.2310322660142</v>
      </c>
      <c r="H17" s="7">
        <v>-5502.9920886808632</v>
      </c>
      <c r="I17" s="7">
        <v>-4316.2310322660142</v>
      </c>
    </row>
    <row r="18" spans="1:9" x14ac:dyDescent="0.25">
      <c r="A18" s="7" t="s">
        <v>1</v>
      </c>
      <c r="B18" s="12">
        <v>4.1586751823459425</v>
      </c>
      <c r="C18" s="7">
        <v>0.17851842664901188</v>
      </c>
      <c r="D18" s="7">
        <v>23.295495374952999</v>
      </c>
      <c r="E18" s="7">
        <v>2.0125515895234922E-5</v>
      </c>
      <c r="F18" s="7">
        <v>3.6630285704886822</v>
      </c>
      <c r="G18" s="7">
        <v>4.6543217942032031</v>
      </c>
      <c r="H18" s="7">
        <v>3.6630285704886822</v>
      </c>
      <c r="I18" s="7">
        <v>4.6543217942032031</v>
      </c>
    </row>
    <row r="19" spans="1:9" x14ac:dyDescent="0.25">
      <c r="A19" s="7" t="s">
        <v>2</v>
      </c>
      <c r="B19" s="12">
        <v>14.335441359207284</v>
      </c>
      <c r="C19" s="7">
        <v>1.8408312129987112</v>
      </c>
      <c r="D19" s="7">
        <v>7.7874827729886604</v>
      </c>
      <c r="E19" s="7">
        <v>1.4664519771180782E-3</v>
      </c>
      <c r="F19" s="7">
        <v>9.2244745483816963</v>
      </c>
      <c r="G19" s="7">
        <v>19.446408170032871</v>
      </c>
      <c r="H19" s="7">
        <v>9.2244745483816963</v>
      </c>
      <c r="I19" s="7">
        <v>19.446408170032871</v>
      </c>
    </row>
    <row r="20" spans="1:9" x14ac:dyDescent="0.25">
      <c r="A20" s="7" t="s">
        <v>3</v>
      </c>
      <c r="B20" s="12">
        <v>20.833125328136003</v>
      </c>
      <c r="C20" s="7">
        <v>2.3405623104464168</v>
      </c>
      <c r="D20" s="7">
        <v>8.9009060921614545</v>
      </c>
      <c r="E20" s="7">
        <v>8.8049240324228372E-4</v>
      </c>
      <c r="F20" s="7">
        <v>14.334682557886611</v>
      </c>
      <c r="G20" s="7">
        <v>27.331568098385397</v>
      </c>
      <c r="H20" s="7">
        <v>14.334682557886611</v>
      </c>
      <c r="I20" s="7">
        <v>27.331568098385397</v>
      </c>
    </row>
    <row r="21" spans="1:9" x14ac:dyDescent="0.25">
      <c r="A21" s="7" t="s">
        <v>4</v>
      </c>
      <c r="B21" s="12">
        <v>1.4939609942372036</v>
      </c>
      <c r="C21" s="7">
        <v>8.0440192916677695</v>
      </c>
      <c r="D21" s="7">
        <v>0.18572319882234645</v>
      </c>
      <c r="E21" s="7">
        <v>0.86169958476183794</v>
      </c>
      <c r="F21" s="7">
        <v>-20.839816994230397</v>
      </c>
      <c r="G21" s="7">
        <v>23.827738982704801</v>
      </c>
      <c r="H21" s="7">
        <v>-20.839816994230397</v>
      </c>
      <c r="I21" s="7">
        <v>23.827738982704801</v>
      </c>
    </row>
    <row r="22" spans="1:9" ht="15.75" thickBot="1" x14ac:dyDescent="0.3">
      <c r="A22" s="8" t="s">
        <v>5</v>
      </c>
      <c r="B22" s="13">
        <v>327.87120915901374</v>
      </c>
      <c r="C22" s="8">
        <v>25.51277740348532</v>
      </c>
      <c r="D22" s="8">
        <v>12.851255038748663</v>
      </c>
      <c r="E22" s="8">
        <v>2.1136766750496402E-4</v>
      </c>
      <c r="F22" s="8">
        <v>257.03638321710605</v>
      </c>
      <c r="G22" s="8">
        <v>398.70603510092144</v>
      </c>
      <c r="H22" s="8">
        <v>257.03638321710605</v>
      </c>
      <c r="I22" s="8">
        <v>398.70603510092144</v>
      </c>
    </row>
    <row r="26" spans="1:9" x14ac:dyDescent="0.25">
      <c r="A26" t="s">
        <v>79</v>
      </c>
    </row>
    <row r="27" spans="1:9" ht="15.75" thickBot="1" x14ac:dyDescent="0.3"/>
    <row r="28" spans="1:9" x14ac:dyDescent="0.25">
      <c r="A28" s="9" t="s">
        <v>80</v>
      </c>
      <c r="B28" s="9" t="s">
        <v>81</v>
      </c>
      <c r="C28" s="9" t="s">
        <v>82</v>
      </c>
    </row>
    <row r="29" spans="1:9" x14ac:dyDescent="0.25">
      <c r="A29" s="7">
        <v>1</v>
      </c>
      <c r="B29" s="7">
        <v>-284.40197697955455</v>
      </c>
      <c r="C29" s="7">
        <v>0.40197697955454714</v>
      </c>
    </row>
    <row r="30" spans="1:9" x14ac:dyDescent="0.25">
      <c r="A30" s="7">
        <v>2</v>
      </c>
      <c r="B30" s="7">
        <v>-422.47793065241058</v>
      </c>
      <c r="C30" s="7">
        <v>20.477930652410578</v>
      </c>
    </row>
    <row r="31" spans="1:9" x14ac:dyDescent="0.25">
      <c r="A31" s="7">
        <v>3</v>
      </c>
      <c r="B31" s="7">
        <v>-208.80927388038981</v>
      </c>
      <c r="C31" s="7">
        <v>1.8092738803898101</v>
      </c>
    </row>
    <row r="32" spans="1:9" x14ac:dyDescent="0.25">
      <c r="A32" s="7">
        <v>4</v>
      </c>
      <c r="B32" s="7">
        <v>259.92706385792326</v>
      </c>
      <c r="C32" s="7">
        <v>7.0729361420767418</v>
      </c>
    </row>
    <row r="33" spans="1:3" x14ac:dyDescent="0.25">
      <c r="A33" s="7">
        <v>5</v>
      </c>
      <c r="B33" s="7">
        <v>-185.84939976684177</v>
      </c>
      <c r="C33" s="7">
        <v>-15.150600233158229</v>
      </c>
    </row>
    <row r="34" spans="1:3" x14ac:dyDescent="0.25">
      <c r="A34" s="7">
        <v>6</v>
      </c>
      <c r="B34" s="7">
        <v>265.89605318851284</v>
      </c>
      <c r="C34" s="7">
        <v>17.103946811487162</v>
      </c>
    </row>
    <row r="35" spans="1:3" x14ac:dyDescent="0.25">
      <c r="A35" s="7">
        <v>7</v>
      </c>
      <c r="B35" s="7">
        <v>-15.710360931001787</v>
      </c>
      <c r="C35" s="7">
        <v>-29.289639068998213</v>
      </c>
    </row>
    <row r="36" spans="1:3" x14ac:dyDescent="0.25">
      <c r="A36" s="7">
        <v>8</v>
      </c>
      <c r="B36" s="7">
        <v>226.25028589923795</v>
      </c>
      <c r="C36" s="7">
        <v>19.749714100762048</v>
      </c>
    </row>
    <row r="37" spans="1:3" x14ac:dyDescent="0.25">
      <c r="A37" s="7">
        <v>9</v>
      </c>
      <c r="B37" s="7">
        <v>77.139155491785914</v>
      </c>
      <c r="C37" s="7">
        <v>-7.1391554917859139</v>
      </c>
    </row>
    <row r="38" spans="1:3" ht="15.75" thickBot="1" x14ac:dyDescent="0.3">
      <c r="A38" s="8">
        <v>10</v>
      </c>
      <c r="B38" s="8">
        <v>295.03638377274024</v>
      </c>
      <c r="C38" s="8">
        <v>-15.036383772740237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6AA6-1509-4CF8-B454-06D0B674E755}">
  <dimension ref="A1:N86"/>
  <sheetViews>
    <sheetView topLeftCell="A72" workbookViewId="0">
      <selection activeCell="A86" sqref="A86"/>
    </sheetView>
  </sheetViews>
  <sheetFormatPr defaultRowHeight="15" x14ac:dyDescent="0.25"/>
  <cols>
    <col min="1" max="1" width="5.140625" style="2" bestFit="1" customWidth="1"/>
    <col min="2" max="2" width="8.42578125" style="2" bestFit="1" customWidth="1"/>
    <col min="3" max="3" width="9" style="2" bestFit="1" customWidth="1"/>
    <col min="4" max="4" width="9.7109375" style="2" customWidth="1"/>
    <col min="5" max="5" width="12.28515625" style="2" customWidth="1"/>
    <col min="6" max="6" width="12.85546875" style="2" customWidth="1"/>
    <col min="7" max="7" width="9.5703125" style="2" customWidth="1"/>
    <col min="8" max="8" width="13.140625" bestFit="1" customWidth="1"/>
    <col min="9" max="9" width="10.7109375" customWidth="1"/>
    <col min="11" max="11" width="4" customWidth="1"/>
    <col min="12" max="12" width="10.7109375" customWidth="1"/>
  </cols>
  <sheetData>
    <row r="1" spans="1:7" ht="34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2">
        <v>1</v>
      </c>
      <c r="B2" s="2">
        <v>246</v>
      </c>
      <c r="C2" s="2">
        <v>75</v>
      </c>
      <c r="D2" s="2">
        <v>66</v>
      </c>
      <c r="E2" s="2">
        <v>3</v>
      </c>
      <c r="F2" s="2">
        <v>3.5</v>
      </c>
      <c r="G2" s="2">
        <v>-284</v>
      </c>
    </row>
    <row r="3" spans="1:7" x14ac:dyDescent="0.25">
      <c r="A3" s="2">
        <v>2</v>
      </c>
      <c r="B3" s="2">
        <v>226</v>
      </c>
      <c r="C3" s="2">
        <v>80</v>
      </c>
      <c r="D3" s="2">
        <v>63</v>
      </c>
      <c r="E3" s="2">
        <v>4</v>
      </c>
      <c r="F3" s="2">
        <v>3.3</v>
      </c>
      <c r="G3" s="2">
        <v>-402</v>
      </c>
    </row>
    <row r="4" spans="1:7" x14ac:dyDescent="0.25">
      <c r="A4" s="2">
        <v>3</v>
      </c>
      <c r="B4" s="2">
        <v>302</v>
      </c>
      <c r="C4" s="2">
        <v>82</v>
      </c>
      <c r="D4" s="2">
        <v>60</v>
      </c>
      <c r="E4" s="2">
        <v>2</v>
      </c>
      <c r="F4" s="2">
        <v>3.1</v>
      </c>
      <c r="G4" s="2">
        <v>-207</v>
      </c>
    </row>
    <row r="5" spans="1:7" x14ac:dyDescent="0.25">
      <c r="A5" s="2">
        <v>4</v>
      </c>
      <c r="B5" s="2">
        <v>347</v>
      </c>
      <c r="C5" s="2">
        <v>77</v>
      </c>
      <c r="D5" s="2">
        <v>58</v>
      </c>
      <c r="E5" s="2">
        <v>3</v>
      </c>
      <c r="F5" s="2">
        <v>4.3</v>
      </c>
      <c r="G5" s="2">
        <v>267</v>
      </c>
    </row>
    <row r="6" spans="1:7" x14ac:dyDescent="0.25">
      <c r="A6" s="2">
        <v>5</v>
      </c>
      <c r="B6" s="2">
        <v>267</v>
      </c>
      <c r="C6" s="2">
        <v>71</v>
      </c>
      <c r="D6" s="2">
        <v>66</v>
      </c>
      <c r="E6" s="2">
        <v>5</v>
      </c>
      <c r="F6" s="2">
        <v>3.7</v>
      </c>
      <c r="G6" s="2">
        <v>-201</v>
      </c>
    </row>
    <row r="7" spans="1:7" x14ac:dyDescent="0.25">
      <c r="A7" s="2">
        <v>6</v>
      </c>
      <c r="B7" s="2">
        <v>315</v>
      </c>
      <c r="C7" s="2">
        <v>86</v>
      </c>
      <c r="D7" s="2">
        <v>71</v>
      </c>
      <c r="E7" s="2">
        <v>4</v>
      </c>
      <c r="F7" s="2">
        <v>3.5</v>
      </c>
      <c r="G7" s="2">
        <v>283</v>
      </c>
    </row>
    <row r="8" spans="1:7" x14ac:dyDescent="0.25">
      <c r="A8" s="2">
        <v>7</v>
      </c>
      <c r="B8" s="2">
        <v>241</v>
      </c>
      <c r="C8" s="2">
        <v>90</v>
      </c>
      <c r="D8" s="2">
        <v>68</v>
      </c>
      <c r="E8" s="2">
        <v>3</v>
      </c>
      <c r="F8" s="2">
        <v>3.6</v>
      </c>
      <c r="G8" s="2">
        <v>-45</v>
      </c>
    </row>
    <row r="9" spans="1:7" x14ac:dyDescent="0.25">
      <c r="A9" s="2">
        <v>8</v>
      </c>
      <c r="B9" s="2">
        <v>290</v>
      </c>
      <c r="C9" s="2">
        <v>83</v>
      </c>
      <c r="D9" s="2">
        <v>70</v>
      </c>
      <c r="E9" s="2">
        <v>2</v>
      </c>
      <c r="F9" s="2">
        <v>3.9</v>
      </c>
      <c r="G9" s="2">
        <v>246</v>
      </c>
    </row>
    <row r="10" spans="1:7" x14ac:dyDescent="0.25">
      <c r="A10" s="2">
        <v>9</v>
      </c>
      <c r="B10" s="2">
        <v>271</v>
      </c>
      <c r="C10" s="2">
        <v>78</v>
      </c>
      <c r="D10" s="2">
        <v>67</v>
      </c>
      <c r="E10" s="2">
        <v>1</v>
      </c>
      <c r="F10" s="2">
        <v>4.0999999999999996</v>
      </c>
      <c r="G10" s="2">
        <v>70</v>
      </c>
    </row>
    <row r="11" spans="1:7" x14ac:dyDescent="0.25">
      <c r="A11" s="2">
        <v>10</v>
      </c>
      <c r="B11" s="2">
        <v>386</v>
      </c>
      <c r="C11" s="2">
        <v>80</v>
      </c>
      <c r="D11" s="2">
        <v>64</v>
      </c>
      <c r="E11" s="2">
        <v>3</v>
      </c>
      <c r="F11" s="2">
        <v>3.4</v>
      </c>
      <c r="G11" s="2">
        <v>280</v>
      </c>
    </row>
    <row r="15" spans="1:7" x14ac:dyDescent="0.25">
      <c r="B15" s="3" t="s">
        <v>7</v>
      </c>
      <c r="C15" s="6" t="s">
        <v>8</v>
      </c>
      <c r="F15" s="5" t="s">
        <v>21</v>
      </c>
    </row>
    <row r="16" spans="1:7" x14ac:dyDescent="0.25">
      <c r="B16" s="2" t="s">
        <v>11</v>
      </c>
      <c r="C16" s="5" t="s">
        <v>6</v>
      </c>
    </row>
    <row r="17" spans="2:14" x14ac:dyDescent="0.25">
      <c r="B17" s="2" t="s">
        <v>12</v>
      </c>
      <c r="C17" s="5" t="s">
        <v>20</v>
      </c>
    </row>
    <row r="18" spans="2:14" x14ac:dyDescent="0.25">
      <c r="B18" s="2" t="s">
        <v>13</v>
      </c>
      <c r="C18" s="5" t="s">
        <v>2</v>
      </c>
    </row>
    <row r="19" spans="2:14" x14ac:dyDescent="0.25">
      <c r="B19" s="2" t="s">
        <v>14</v>
      </c>
      <c r="C19" s="5" t="s">
        <v>17</v>
      </c>
    </row>
    <row r="20" spans="2:14" x14ac:dyDescent="0.25">
      <c r="B20" s="2" t="s">
        <v>15</v>
      </c>
      <c r="C20" s="5" t="s">
        <v>18</v>
      </c>
    </row>
    <row r="21" spans="2:14" x14ac:dyDescent="0.25">
      <c r="B21" s="2" t="s">
        <v>16</v>
      </c>
      <c r="C21" s="5" t="s">
        <v>19</v>
      </c>
    </row>
    <row r="23" spans="2:14" x14ac:dyDescent="0.25">
      <c r="B23" s="3" t="s">
        <v>9</v>
      </c>
      <c r="C23" s="6" t="s">
        <v>10</v>
      </c>
    </row>
    <row r="25" spans="2:14" ht="29.25" customHeight="1" x14ac:dyDescent="0.25">
      <c r="C25" s="2" t="s">
        <v>22</v>
      </c>
      <c r="E25" s="2" t="s">
        <v>23</v>
      </c>
      <c r="F25" s="4" t="s">
        <v>1</v>
      </c>
      <c r="G25" s="4" t="s">
        <v>2</v>
      </c>
      <c r="H25" s="4" t="s">
        <v>3</v>
      </c>
      <c r="I25" s="4" t="s">
        <v>4</v>
      </c>
      <c r="J25" s="4" t="s">
        <v>5</v>
      </c>
      <c r="K25" s="4"/>
      <c r="L25" s="4" t="s">
        <v>36</v>
      </c>
      <c r="N25" s="4" t="s">
        <v>25</v>
      </c>
    </row>
    <row r="26" spans="2:14" x14ac:dyDescent="0.25">
      <c r="C26" s="2">
        <v>-284</v>
      </c>
      <c r="E26" s="2">
        <v>1</v>
      </c>
      <c r="F26" s="2">
        <v>246</v>
      </c>
      <c r="G26" s="2">
        <v>75</v>
      </c>
      <c r="H26" s="2">
        <v>66</v>
      </c>
      <c r="I26" s="2">
        <v>3</v>
      </c>
      <c r="J26" s="2">
        <v>3.5</v>
      </c>
      <c r="K26" s="2"/>
      <c r="L26" s="2" t="s">
        <v>37</v>
      </c>
      <c r="N26" t="s">
        <v>26</v>
      </c>
    </row>
    <row r="27" spans="2:14" x14ac:dyDescent="0.25">
      <c r="C27" s="2">
        <v>-402</v>
      </c>
      <c r="E27" s="2">
        <v>1</v>
      </c>
      <c r="F27" s="2">
        <v>226</v>
      </c>
      <c r="G27" s="2">
        <v>80</v>
      </c>
      <c r="H27" s="2">
        <v>63</v>
      </c>
      <c r="I27" s="2">
        <v>4</v>
      </c>
      <c r="J27" s="2">
        <v>3.3</v>
      </c>
      <c r="K27" s="2"/>
      <c r="L27" s="2" t="s">
        <v>38</v>
      </c>
      <c r="N27" t="s">
        <v>27</v>
      </c>
    </row>
    <row r="28" spans="2:14" x14ac:dyDescent="0.25">
      <c r="C28" s="2">
        <v>-207</v>
      </c>
      <c r="E28" s="2">
        <v>1</v>
      </c>
      <c r="F28" s="2">
        <v>302</v>
      </c>
      <c r="G28" s="2">
        <v>82</v>
      </c>
      <c r="H28" s="2">
        <v>60</v>
      </c>
      <c r="I28" s="2">
        <v>2</v>
      </c>
      <c r="J28" s="2">
        <v>3.1</v>
      </c>
      <c r="K28" s="2"/>
      <c r="L28" s="2" t="s">
        <v>39</v>
      </c>
      <c r="N28" t="s">
        <v>28</v>
      </c>
    </row>
    <row r="29" spans="2:14" x14ac:dyDescent="0.25">
      <c r="C29" s="2">
        <v>267</v>
      </c>
      <c r="E29" s="2">
        <v>1</v>
      </c>
      <c r="F29" s="2">
        <v>347</v>
      </c>
      <c r="G29" s="2">
        <v>77</v>
      </c>
      <c r="H29" s="2">
        <v>58</v>
      </c>
      <c r="I29" s="2">
        <v>3</v>
      </c>
      <c r="J29" s="2">
        <v>4.3</v>
      </c>
      <c r="K29" s="2"/>
      <c r="L29" s="2" t="s">
        <v>40</v>
      </c>
      <c r="M29" s="2" t="s">
        <v>24</v>
      </c>
      <c r="N29" t="s">
        <v>29</v>
      </c>
    </row>
    <row r="30" spans="2:14" x14ac:dyDescent="0.25">
      <c r="C30" s="2">
        <v>-201</v>
      </c>
      <c r="E30" s="2">
        <v>1</v>
      </c>
      <c r="F30" s="2">
        <v>267</v>
      </c>
      <c r="G30" s="2">
        <v>71</v>
      </c>
      <c r="H30" s="2">
        <v>66</v>
      </c>
      <c r="I30" s="2">
        <v>5</v>
      </c>
      <c r="J30" s="2">
        <v>3.7</v>
      </c>
      <c r="K30" s="2"/>
      <c r="L30" s="2" t="s">
        <v>41</v>
      </c>
      <c r="N30" t="s">
        <v>30</v>
      </c>
    </row>
    <row r="31" spans="2:14" x14ac:dyDescent="0.25">
      <c r="C31" s="2">
        <v>283</v>
      </c>
      <c r="D31" s="2" t="s">
        <v>42</v>
      </c>
      <c r="E31" s="2">
        <v>1</v>
      </c>
      <c r="F31" s="2">
        <v>315</v>
      </c>
      <c r="G31" s="2">
        <v>86</v>
      </c>
      <c r="H31" s="2">
        <v>71</v>
      </c>
      <c r="I31" s="2">
        <v>4</v>
      </c>
      <c r="J31" s="2">
        <v>3.5</v>
      </c>
      <c r="K31" s="2"/>
      <c r="L31" s="2"/>
      <c r="N31" t="s">
        <v>31</v>
      </c>
    </row>
    <row r="32" spans="2:14" x14ac:dyDescent="0.25">
      <c r="C32" s="2">
        <v>-45</v>
      </c>
      <c r="E32" s="2">
        <v>1</v>
      </c>
      <c r="F32" s="2">
        <v>241</v>
      </c>
      <c r="G32" s="2">
        <v>90</v>
      </c>
      <c r="H32" s="2">
        <v>68</v>
      </c>
      <c r="I32" s="2">
        <v>3</v>
      </c>
      <c r="J32" s="2">
        <v>3.6</v>
      </c>
      <c r="K32" s="2"/>
      <c r="L32" s="2"/>
      <c r="N32" t="s">
        <v>32</v>
      </c>
    </row>
    <row r="33" spans="2:14" x14ac:dyDescent="0.25">
      <c r="C33" s="2">
        <v>246</v>
      </c>
      <c r="E33" s="2">
        <v>1</v>
      </c>
      <c r="F33" s="2">
        <v>290</v>
      </c>
      <c r="G33" s="2">
        <v>83</v>
      </c>
      <c r="H33" s="2">
        <v>70</v>
      </c>
      <c r="I33" s="2">
        <v>2</v>
      </c>
      <c r="J33" s="2">
        <v>3.9</v>
      </c>
      <c r="K33" s="2"/>
      <c r="L33" s="2"/>
      <c r="N33" t="s">
        <v>33</v>
      </c>
    </row>
    <row r="34" spans="2:14" x14ac:dyDescent="0.25">
      <c r="C34" s="2">
        <v>70</v>
      </c>
      <c r="E34" s="2">
        <v>1</v>
      </c>
      <c r="F34" s="2">
        <v>271</v>
      </c>
      <c r="G34" s="2">
        <v>78</v>
      </c>
      <c r="H34" s="2">
        <v>67</v>
      </c>
      <c r="I34" s="2">
        <v>1</v>
      </c>
      <c r="J34" s="2">
        <v>4.0999999999999996</v>
      </c>
      <c r="K34" s="2"/>
      <c r="L34" s="2"/>
      <c r="N34" t="s">
        <v>34</v>
      </c>
    </row>
    <row r="35" spans="2:14" x14ac:dyDescent="0.25">
      <c r="C35" s="2">
        <v>280</v>
      </c>
      <c r="E35" s="2">
        <v>1</v>
      </c>
      <c r="F35" s="2">
        <v>386</v>
      </c>
      <c r="G35" s="2">
        <v>80</v>
      </c>
      <c r="H35" s="2">
        <v>64</v>
      </c>
      <c r="I35" s="2">
        <v>3</v>
      </c>
      <c r="J35" s="2">
        <v>3.4</v>
      </c>
      <c r="K35" s="2"/>
      <c r="L35" s="2"/>
      <c r="N35" t="s">
        <v>35</v>
      </c>
    </row>
    <row r="37" spans="2:14" x14ac:dyDescent="0.25">
      <c r="B37" s="6" t="s">
        <v>43</v>
      </c>
    </row>
    <row r="39" spans="2:14" x14ac:dyDescent="0.25">
      <c r="B39" s="2" t="s">
        <v>45</v>
      </c>
      <c r="C39" s="3" t="s">
        <v>44</v>
      </c>
      <c r="E39" s="2" t="s">
        <v>46</v>
      </c>
    </row>
    <row r="41" spans="2:14" x14ac:dyDescent="0.25">
      <c r="B41" s="3"/>
      <c r="C41" s="3" t="s">
        <v>47</v>
      </c>
    </row>
    <row r="44" spans="2:14" x14ac:dyDescent="0.25">
      <c r="B44" s="6" t="s">
        <v>48</v>
      </c>
    </row>
    <row r="45" spans="2:14" x14ac:dyDescent="0.25">
      <c r="B45" s="2" cm="1">
        <f t="array" ref="B45:K50">TRANSPOSE(E26:J35)</f>
        <v>1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>
        <v>1</v>
      </c>
      <c r="I45">
        <v>1</v>
      </c>
      <c r="J45">
        <v>1</v>
      </c>
      <c r="K45">
        <v>1</v>
      </c>
    </row>
    <row r="46" spans="2:14" x14ac:dyDescent="0.25">
      <c r="B46" s="2">
        <v>246</v>
      </c>
      <c r="C46" s="2">
        <v>226</v>
      </c>
      <c r="D46" s="2">
        <v>302</v>
      </c>
      <c r="E46" s="2">
        <v>347</v>
      </c>
      <c r="F46" s="2">
        <v>267</v>
      </c>
      <c r="G46" s="2">
        <v>315</v>
      </c>
      <c r="H46">
        <v>241</v>
      </c>
      <c r="I46">
        <v>290</v>
      </c>
      <c r="J46">
        <v>271</v>
      </c>
      <c r="K46">
        <v>386</v>
      </c>
    </row>
    <row r="47" spans="2:14" x14ac:dyDescent="0.25">
      <c r="B47" s="2">
        <v>75</v>
      </c>
      <c r="C47" s="2">
        <v>80</v>
      </c>
      <c r="D47" s="2">
        <v>82</v>
      </c>
      <c r="E47" s="2">
        <v>77</v>
      </c>
      <c r="F47" s="2">
        <v>71</v>
      </c>
      <c r="G47" s="2">
        <v>86</v>
      </c>
      <c r="H47">
        <v>90</v>
      </c>
      <c r="I47">
        <v>83</v>
      </c>
      <c r="J47">
        <v>78</v>
      </c>
      <c r="K47">
        <v>80</v>
      </c>
    </row>
    <row r="48" spans="2:14" x14ac:dyDescent="0.25">
      <c r="B48" s="2">
        <v>66</v>
      </c>
      <c r="C48" s="2">
        <v>63</v>
      </c>
      <c r="D48" s="2">
        <v>60</v>
      </c>
      <c r="E48" s="2">
        <v>58</v>
      </c>
      <c r="F48" s="2">
        <v>66</v>
      </c>
      <c r="G48" s="2">
        <v>71</v>
      </c>
      <c r="H48">
        <v>68</v>
      </c>
      <c r="I48">
        <v>70</v>
      </c>
      <c r="J48">
        <v>67</v>
      </c>
      <c r="K48">
        <v>64</v>
      </c>
    </row>
    <row r="49" spans="2:11" x14ac:dyDescent="0.25">
      <c r="B49" s="2">
        <v>3</v>
      </c>
      <c r="C49" s="2">
        <v>4</v>
      </c>
      <c r="D49" s="2">
        <v>2</v>
      </c>
      <c r="E49" s="2">
        <v>3</v>
      </c>
      <c r="F49" s="2">
        <v>5</v>
      </c>
      <c r="G49" s="2">
        <v>4</v>
      </c>
      <c r="H49">
        <v>3</v>
      </c>
      <c r="I49">
        <v>2</v>
      </c>
      <c r="J49">
        <v>1</v>
      </c>
      <c r="K49">
        <v>3</v>
      </c>
    </row>
    <row r="50" spans="2:11" x14ac:dyDescent="0.25">
      <c r="B50" s="2">
        <v>3.5</v>
      </c>
      <c r="C50" s="2">
        <v>3.3</v>
      </c>
      <c r="D50" s="2">
        <v>3.1</v>
      </c>
      <c r="E50" s="2">
        <v>4.3</v>
      </c>
      <c r="F50" s="2">
        <v>3.7</v>
      </c>
      <c r="G50" s="2">
        <v>3.5</v>
      </c>
      <c r="H50">
        <v>3.6</v>
      </c>
      <c r="I50">
        <v>3.9</v>
      </c>
      <c r="J50">
        <v>4.0999999999999996</v>
      </c>
      <c r="K50">
        <v>3.4</v>
      </c>
    </row>
    <row r="52" spans="2:11" x14ac:dyDescent="0.25">
      <c r="B52" s="6" t="s">
        <v>49</v>
      </c>
    </row>
    <row r="53" spans="2:11" x14ac:dyDescent="0.25">
      <c r="B53" s="2" cm="1">
        <f t="array" ref="B53:G58">MMULT(_xlfn.ANCHORARRAY(B45),E26:J35)</f>
        <v>10</v>
      </c>
      <c r="C53" s="2">
        <v>2891</v>
      </c>
      <c r="D53" s="2">
        <v>802</v>
      </c>
      <c r="E53" s="2">
        <v>653</v>
      </c>
      <c r="F53" s="2">
        <v>30</v>
      </c>
      <c r="G53" s="2">
        <v>36.4</v>
      </c>
    </row>
    <row r="54" spans="2:11" x14ac:dyDescent="0.25">
      <c r="B54" s="2">
        <v>2891</v>
      </c>
      <c r="C54" s="2">
        <v>858337</v>
      </c>
      <c r="D54" s="2">
        <v>231838</v>
      </c>
      <c r="E54" s="2">
        <v>188256</v>
      </c>
      <c r="F54" s="2">
        <v>8614</v>
      </c>
      <c r="G54" s="2">
        <v>10547.6</v>
      </c>
    </row>
    <row r="55" spans="2:11" x14ac:dyDescent="0.25">
      <c r="B55" s="2">
        <v>802</v>
      </c>
      <c r="C55" s="2">
        <v>231838</v>
      </c>
      <c r="D55" s="2">
        <v>64588</v>
      </c>
      <c r="E55" s="2">
        <v>52444</v>
      </c>
      <c r="F55" s="2">
        <v>2393</v>
      </c>
      <c r="G55" s="2">
        <v>2915</v>
      </c>
    </row>
    <row r="56" spans="2:11" x14ac:dyDescent="0.25">
      <c r="B56" s="2">
        <v>653</v>
      </c>
      <c r="C56" s="2">
        <v>188256</v>
      </c>
      <c r="D56" s="2">
        <v>52444</v>
      </c>
      <c r="E56" s="2">
        <v>42795</v>
      </c>
      <c r="F56" s="2">
        <v>1961</v>
      </c>
      <c r="G56" s="2">
        <v>2377.1</v>
      </c>
    </row>
    <row r="57" spans="2:11" x14ac:dyDescent="0.25">
      <c r="B57" s="2">
        <v>30</v>
      </c>
      <c r="C57" s="2">
        <v>8614</v>
      </c>
      <c r="D57" s="2">
        <v>2393</v>
      </c>
      <c r="E57" s="2">
        <v>1961</v>
      </c>
      <c r="F57" s="2">
        <v>102</v>
      </c>
      <c r="G57" s="2">
        <v>108.19999999999999</v>
      </c>
    </row>
    <row r="58" spans="2:11" x14ac:dyDescent="0.25">
      <c r="B58" s="2">
        <v>36.4</v>
      </c>
      <c r="C58" s="2">
        <v>10547.6</v>
      </c>
      <c r="D58" s="2">
        <v>2915</v>
      </c>
      <c r="E58" s="2">
        <v>2377.1</v>
      </c>
      <c r="F58" s="2">
        <v>108.19999999999999</v>
      </c>
      <c r="G58" s="2">
        <v>133.71999999999997</v>
      </c>
    </row>
    <row r="60" spans="2:11" x14ac:dyDescent="0.25">
      <c r="B60" s="6" t="s">
        <v>50</v>
      </c>
    </row>
    <row r="61" spans="2:11" x14ac:dyDescent="0.25">
      <c r="B61" s="2" cm="1">
        <f t="array" ref="B61:G66">MINVERSE(_xlfn.ANCHORARRAY(B53))</f>
        <v>72.504884286343483</v>
      </c>
      <c r="C61" s="2">
        <v>-1.7933126825691106E-2</v>
      </c>
      <c r="D61" s="2">
        <v>-0.34267666421285736</v>
      </c>
      <c r="E61" s="2">
        <v>-0.30282250154455248</v>
      </c>
      <c r="F61" s="2">
        <v>-1.0442517085839542</v>
      </c>
      <c r="G61" s="2">
        <v>-4.6238143886137042</v>
      </c>
    </row>
    <row r="62" spans="2:11" x14ac:dyDescent="0.25">
      <c r="B62" s="2">
        <v>-1.7933126825691231E-2</v>
      </c>
      <c r="C62" s="2">
        <v>5.05877036403672E-5</v>
      </c>
      <c r="D62" s="2">
        <v>-7.2000924440766465E-5</v>
      </c>
      <c r="E62" s="2">
        <v>2.0814624070402204E-4</v>
      </c>
      <c r="F62" s="2">
        <v>3.0689228414329399E-5</v>
      </c>
      <c r="G62" s="2">
        <v>-1.2640992746717271E-3</v>
      </c>
    </row>
    <row r="63" spans="2:11" x14ac:dyDescent="0.25">
      <c r="B63" s="2">
        <v>-0.34267666421284143</v>
      </c>
      <c r="C63" s="2">
        <v>-7.2000924440768959E-5</v>
      </c>
      <c r="D63" s="2">
        <v>5.3790651410208024E-3</v>
      </c>
      <c r="E63" s="2">
        <v>-2.9471143539264058E-3</v>
      </c>
      <c r="F63" s="2">
        <v>8.2490812105179001E-3</v>
      </c>
      <c r="G63" s="2">
        <v>2.7414953527098909E-2</v>
      </c>
    </row>
    <row r="64" spans="2:11" x14ac:dyDescent="0.25">
      <c r="B64" s="2">
        <v>-0.30282250154457846</v>
      </c>
      <c r="C64" s="2">
        <v>2.0814624070402549E-4</v>
      </c>
      <c r="D64" s="2">
        <v>-2.9471143539262167E-3</v>
      </c>
      <c r="E64" s="2">
        <v>8.6959949584921141E-3</v>
      </c>
      <c r="F64" s="2">
        <v>-5.2893162836250536E-3</v>
      </c>
      <c r="G64" s="2">
        <v>-2.0047947087014489E-2</v>
      </c>
    </row>
    <row r="65" spans="2:7" x14ac:dyDescent="0.25">
      <c r="B65" s="2">
        <v>-1.0442517085839427</v>
      </c>
      <c r="C65" s="2">
        <v>3.0689228414320461E-5</v>
      </c>
      <c r="D65" s="2">
        <v>8.2490812105181933E-3</v>
      </c>
      <c r="E65" s="2">
        <v>-5.289316283625633E-3</v>
      </c>
      <c r="F65" s="2">
        <v>0.10271291895902586</v>
      </c>
      <c r="G65" s="2">
        <v>0.11292767472787904</v>
      </c>
    </row>
    <row r="66" spans="2:7" x14ac:dyDescent="0.25">
      <c r="B66" s="2">
        <v>-4.6238143886135905</v>
      </c>
      <c r="C66" s="2">
        <v>-1.2640992746717596E-3</v>
      </c>
      <c r="D66" s="2">
        <v>2.7414953527099453E-2</v>
      </c>
      <c r="E66" s="2">
        <v>-2.0047947087016686E-2</v>
      </c>
      <c r="F66" s="2">
        <v>0.11292767472787758</v>
      </c>
      <c r="G66" s="2">
        <v>1.0332236639138399</v>
      </c>
    </row>
    <row r="68" spans="2:7" x14ac:dyDescent="0.25">
      <c r="B68" s="6" t="s">
        <v>51</v>
      </c>
    </row>
    <row r="69" spans="2:7" x14ac:dyDescent="0.25">
      <c r="B69" s="2" cm="1">
        <f t="array" ref="B69:B74">MMULT(_xlfn.ANCHORARRAY(B45),C26:C35)</f>
        <v>7</v>
      </c>
    </row>
    <row r="70" spans="2:7" x14ac:dyDescent="0.25">
      <c r="B70" s="2">
        <v>92442</v>
      </c>
    </row>
    <row r="71" spans="2:7" x14ac:dyDescent="0.25">
      <c r="B71" s="2">
        <v>4420</v>
      </c>
    </row>
    <row r="72" spans="2:7" x14ac:dyDescent="0.25">
      <c r="B72" s="2">
        <v>2593</v>
      </c>
    </row>
    <row r="73" spans="2:7" x14ac:dyDescent="0.25">
      <c r="B73" s="2">
        <v>-679</v>
      </c>
    </row>
    <row r="74" spans="2:7" x14ac:dyDescent="0.25">
      <c r="B74" s="2">
        <v>468.99999999999943</v>
      </c>
    </row>
    <row r="76" spans="2:7" x14ac:dyDescent="0.25">
      <c r="B76" s="6" t="s">
        <v>52</v>
      </c>
    </row>
    <row r="77" spans="2:7" x14ac:dyDescent="0.25">
      <c r="B77" s="2" cm="1">
        <f t="array" ref="B77:B82">MMULT(_xlfn.ANCHORARRAY(B61),_xlfn.ANCHORARRAY(B69))</f>
        <v>-4909.6115604733077</v>
      </c>
    </row>
    <row r="78" spans="2:7" x14ac:dyDescent="0.25">
      <c r="B78" s="2">
        <v>4.1586751823459576</v>
      </c>
    </row>
    <row r="79" spans="2:7" x14ac:dyDescent="0.25">
      <c r="B79" s="2">
        <v>14.335441359205042</v>
      </c>
    </row>
    <row r="80" spans="2:7" x14ac:dyDescent="0.25">
      <c r="B80" s="2">
        <v>20.833125328137271</v>
      </c>
    </row>
    <row r="81" spans="2:2" x14ac:dyDescent="0.25">
      <c r="B81" s="2">
        <v>1.4939609942348184</v>
      </c>
    </row>
    <row r="82" spans="2:2" x14ac:dyDescent="0.25">
      <c r="B82" s="2">
        <v>327.87120915900482</v>
      </c>
    </row>
    <row r="84" spans="2:2" x14ac:dyDescent="0.25">
      <c r="B84" s="6" t="s">
        <v>53</v>
      </c>
    </row>
    <row r="86" spans="2:2" x14ac:dyDescent="0.25">
      <c r="B86" s="5" t="s">
        <v>54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Zaira Perez Vazquez</dc:creator>
  <cp:lastModifiedBy>Zaira Perez Vazquez</cp:lastModifiedBy>
  <dcterms:created xsi:type="dcterms:W3CDTF">2021-07-12T16:33:10Z</dcterms:created>
  <dcterms:modified xsi:type="dcterms:W3CDTF">2021-07-12T17:30:45Z</dcterms:modified>
</cp:coreProperties>
</file>