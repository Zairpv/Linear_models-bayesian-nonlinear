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aira\Documents\01. PhD en Ciencias Forestales\1. Cursos\3. Verano\EST-642 - Modelos lineales\Examen\"/>
    </mc:Choice>
  </mc:AlternateContent>
  <xr:revisionPtr revIDLastSave="0" documentId="13_ncr:1_{BDE3C9FA-F7D7-4204-B4DD-C71CA61ABD0E}" xr6:coauthVersionLast="47" xr6:coauthVersionMax="47" xr10:uidLastSave="{00000000-0000-0000-0000-000000000000}"/>
  <bookViews>
    <workbookView xWindow="20370" yWindow="-120" windowWidth="29040" windowHeight="16440" xr2:uid="{94C11B16-68F0-4F39-91EB-7FFAFB90B0DF}"/>
  </bookViews>
  <sheets>
    <sheet name="Curvas de crecimiento" sheetId="1" r:id="rId1"/>
    <sheet name="Answer Report WLS" sheetId="8" r:id="rId2"/>
    <sheet name="Answer Report Gompertz" sheetId="25" r:id="rId3"/>
    <sheet name="Answer Report Logistico" sheetId="26" r:id="rId4"/>
  </sheets>
  <definedNames>
    <definedName name="solver_adj" localSheetId="0" hidden="1">'Curvas de crecimiento'!$C$40:$E$40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2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'Curvas de crecimiento'!$D$53</definedName>
    <definedName name="solver_pre" localSheetId="0" hidden="1">0.000001</definedName>
    <definedName name="solver_rbv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7" i="1" l="1"/>
  <c r="D17" i="1" s="1"/>
  <c r="C12" i="1"/>
  <c r="D12" i="1" s="1"/>
  <c r="C13" i="1"/>
  <c r="D13" i="1" s="1"/>
  <c r="C14" i="1"/>
  <c r="D14" i="1" s="1"/>
  <c r="C15" i="1"/>
  <c r="D15" i="1" s="1"/>
  <c r="C16" i="1"/>
  <c r="D16" i="1" s="1"/>
  <c r="C11" i="1"/>
  <c r="D11" i="1" s="1"/>
  <c r="C30" i="1"/>
  <c r="D30" i="1" s="1"/>
  <c r="C31" i="1"/>
  <c r="D31" i="1" s="1"/>
  <c r="C32" i="1"/>
  <c r="D32" i="1" s="1"/>
  <c r="C33" i="1"/>
  <c r="D33" i="1" s="1"/>
  <c r="C34" i="1"/>
  <c r="D34" i="1" s="1"/>
  <c r="C35" i="1"/>
  <c r="D35" i="1" s="1"/>
  <c r="C29" i="1"/>
  <c r="D29" i="1" s="1"/>
  <c r="C47" i="1"/>
  <c r="D47" i="1" s="1"/>
  <c r="C48" i="1"/>
  <c r="D48" i="1" s="1"/>
  <c r="C49" i="1"/>
  <c r="D49" i="1" s="1"/>
  <c r="C50" i="1"/>
  <c r="D50" i="1" s="1"/>
  <c r="C51" i="1"/>
  <c r="D51" i="1" s="1"/>
  <c r="C52" i="1"/>
  <c r="C46" i="1"/>
  <c r="D18" i="1" l="1"/>
  <c r="D46" i="1"/>
  <c r="D36" i="1"/>
  <c r="D52" i="1" l="1"/>
  <c r="D53" i="1" s="1"/>
</calcChain>
</file>

<file path=xl/sharedStrings.xml><?xml version="1.0" encoding="utf-8"?>
<sst xmlns="http://schemas.openxmlformats.org/spreadsheetml/2006/main" count="143" uniqueCount="68">
  <si>
    <t>B1</t>
  </si>
  <si>
    <t>B2</t>
  </si>
  <si>
    <t>Predicted</t>
  </si>
  <si>
    <t>Residual</t>
  </si>
  <si>
    <t>Microsoft Excel 16.0 Answer Report</t>
  </si>
  <si>
    <t>Worksheet: [Book6]Sheet1</t>
  </si>
  <si>
    <t>Result: Solver has converged to the current solution.  All Constraints are satisfied.</t>
  </si>
  <si>
    <t>Solver Engine</t>
  </si>
  <si>
    <t>Engine: GRG Nonlinear</t>
  </si>
  <si>
    <t>Solver Options</t>
  </si>
  <si>
    <t>Max Time Unlimited,  Iterations Unlimited, Precision 0.000001, Use Automatic Scaling</t>
  </si>
  <si>
    <t xml:space="preserve"> Convergence 0.0001, Population Size 100, Random Seed 0, Derivatives Forward, Require Bounds</t>
  </si>
  <si>
    <t>Max Subproblems Unlimited, Max Integer Sols Unlimited, Integer Tolerance 1%</t>
  </si>
  <si>
    <t>Objective Cell (Min)</t>
  </si>
  <si>
    <t>Cell</t>
  </si>
  <si>
    <t>Name</t>
  </si>
  <si>
    <t>Original Value</t>
  </si>
  <si>
    <t>Final Value</t>
  </si>
  <si>
    <t>Variable Cells</t>
  </si>
  <si>
    <t>Integer</t>
  </si>
  <si>
    <t>Constraints</t>
  </si>
  <si>
    <t>NONE</t>
  </si>
  <si>
    <t>$D$18</t>
  </si>
  <si>
    <t>SRE R WLS</t>
  </si>
  <si>
    <t>WLS B1</t>
  </si>
  <si>
    <t>Contin</t>
  </si>
  <si>
    <t>WLS B2</t>
  </si>
  <si>
    <t>Report Created: 23/08/2021 12:20:26 a. m.</t>
  </si>
  <si>
    <t>Solution Time: 0.25 Seconds.</t>
  </si>
  <si>
    <t>Iterations: 19 Subproblems: 0</t>
  </si>
  <si>
    <t>$D$36</t>
  </si>
  <si>
    <t>$C$23</t>
  </si>
  <si>
    <t>$D$23</t>
  </si>
  <si>
    <t>$E$23</t>
  </si>
  <si>
    <t>Ajuste con la ecuación WLS</t>
  </si>
  <si>
    <t>B0</t>
  </si>
  <si>
    <t>WLS B0</t>
  </si>
  <si>
    <t>Gompertz</t>
  </si>
  <si>
    <t>SCR</t>
  </si>
  <si>
    <t>Gompertz B0</t>
  </si>
  <si>
    <t>Gompertz B1</t>
  </si>
  <si>
    <t>Gompertz B2</t>
  </si>
  <si>
    <t>Logistic</t>
  </si>
  <si>
    <t>$D$53</t>
  </si>
  <si>
    <t>$C$40</t>
  </si>
  <si>
    <t>Logistic B0</t>
  </si>
  <si>
    <t>$D$40</t>
  </si>
  <si>
    <t>Logistic B1</t>
  </si>
  <si>
    <t>$E$40</t>
  </si>
  <si>
    <t>Logistic B2</t>
  </si>
  <si>
    <t>Ajuste con la ecuación Gompertz</t>
  </si>
  <si>
    <t>Ajuste con la ecuación Logistico</t>
  </si>
  <si>
    <t>Solution Time: 0.218 Seconds.</t>
  </si>
  <si>
    <t>Iterations: 17 Subproblems: 0</t>
  </si>
  <si>
    <t>$C$2</t>
  </si>
  <si>
    <t>$D$2</t>
  </si>
  <si>
    <t>$E$2</t>
  </si>
  <si>
    <t>Semana</t>
  </si>
  <si>
    <t>Estimado</t>
  </si>
  <si>
    <t>Predicho</t>
  </si>
  <si>
    <t>Residuales2</t>
  </si>
  <si>
    <t>Worksheet: [Problema6.xlsx]Curvas de crecimiento</t>
  </si>
  <si>
    <t>Report Created: 23/08/2021 10:53:59 a. m.</t>
  </si>
  <si>
    <t>Solution Time: 0.329 Seconds.</t>
  </si>
  <si>
    <t>Iterations: 28 Subproblems: 0</t>
  </si>
  <si>
    <t>SCR Residuales2</t>
  </si>
  <si>
    <t>Report Created: 23/08/2021 10:56:22 a. m.</t>
  </si>
  <si>
    <t>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</si>
</sst>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00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1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0" fillId="0" borderId="2" xfId="0" applyFill="1" applyBorder="1" applyAlignment="1"/>
    <xf numFmtId="0" fontId="2" fillId="0" borderId="1" xfId="0" applyFont="1" applyFill="1" applyBorder="1" applyAlignment="1">
      <alignment horizontal="center"/>
    </xf>
    <xf numFmtId="0" fontId="0" fillId="0" borderId="3" xfId="0" applyFill="1" applyBorder="1" applyAlignment="1"/>
    <xf numFmtId="0" fontId="0" fillId="0" borderId="2" xfId="0" applyNumberFormat="1" applyFill="1" applyBorder="1" applyAlignment="1"/>
    <xf numFmtId="0" fontId="0" fillId="0" borderId="3" xfId="0" applyNumberFormat="1" applyFill="1" applyBorder="1" applyAlignment="1"/>
    <xf numFmtId="0" fontId="2" fillId="0" borderId="1" xfId="0" applyFont="1" applyFill="1" applyBorder="1" applyAlignment="1">
      <alignment horizontal="centerContinuous"/>
    </xf>
    <xf numFmtId="0" fontId="0" fillId="0" borderId="0" xfId="0" applyNumberFormat="1" applyFill="1" applyBorder="1" applyAlignment="1"/>
    <xf numFmtId="0" fontId="0" fillId="2" borderId="0" xfId="0" applyFill="1" applyAlignment="1">
      <alignment horizontal="center"/>
    </xf>
    <xf numFmtId="164" fontId="0" fillId="0" borderId="0" xfId="0" applyNumberFormat="1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WLS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'Curvas de crecimiento'!$B$10</c:f>
              <c:strCache>
                <c:ptCount val="1"/>
                <c:pt idx="0">
                  <c:v>Estimado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'Curvas de crecimiento'!$A$11:$A$17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numCache>
            </c:numRef>
          </c:xVal>
          <c:yVal>
            <c:numRef>
              <c:f>'Curvas de crecimiento'!$B$11:$B$17</c:f>
              <c:numCache>
                <c:formatCode>General</c:formatCode>
                <c:ptCount val="7"/>
                <c:pt idx="0">
                  <c:v>43</c:v>
                </c:pt>
                <c:pt idx="1">
                  <c:v>146.88</c:v>
                </c:pt>
                <c:pt idx="2">
                  <c:v>377.55</c:v>
                </c:pt>
                <c:pt idx="3">
                  <c:v>710.83</c:v>
                </c:pt>
                <c:pt idx="4">
                  <c:v>1228.55</c:v>
                </c:pt>
                <c:pt idx="5">
                  <c:v>1650</c:v>
                </c:pt>
                <c:pt idx="6">
                  <c:v>1955.1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CB1-4A3F-A1B9-E6BB5992D97F}"/>
            </c:ext>
          </c:extLst>
        </c:ser>
        <c:ser>
          <c:idx val="1"/>
          <c:order val="1"/>
          <c:tx>
            <c:strRef>
              <c:f>'Curvas de crecimiento'!$C$10</c:f>
              <c:strCache>
                <c:ptCount val="1"/>
                <c:pt idx="0">
                  <c:v>Predicho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'Curvas de crecimiento'!$A$11:$A$17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numCache>
            </c:numRef>
          </c:xVal>
          <c:yVal>
            <c:numRef>
              <c:f>'Curvas de crecimiento'!$C$11:$C$17</c:f>
              <c:numCache>
                <c:formatCode>General</c:formatCode>
                <c:ptCount val="7"/>
                <c:pt idx="0">
                  <c:v>64.468790932281749</c:v>
                </c:pt>
                <c:pt idx="1">
                  <c:v>156.22272410949802</c:v>
                </c:pt>
                <c:pt idx="2">
                  <c:v>356.67079985023503</c:v>
                </c:pt>
                <c:pt idx="3">
                  <c:v>722.97198691339929</c:v>
                </c:pt>
                <c:pt idx="4">
                  <c:v>1216.175557954462</c:v>
                </c:pt>
                <c:pt idx="5">
                  <c:v>1664.5781341428758</c:v>
                </c:pt>
                <c:pt idx="6">
                  <c:v>1948.2189780408205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CB1-4A3F-A1B9-E6BB5992D9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6354368"/>
        <c:axId val="1826353536"/>
      </c:scatterChart>
      <c:valAx>
        <c:axId val="18263543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Semana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826353536"/>
        <c:crosses val="autoZero"/>
        <c:crossBetween val="midCat"/>
      </c:valAx>
      <c:valAx>
        <c:axId val="1826353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Peso</a:t>
                </a:r>
                <a:endParaRPr lang="es-MX" baseline="0"/>
              </a:p>
              <a:p>
                <a:pPr>
                  <a:defRPr/>
                </a:pPr>
                <a:endParaRPr lang="es-MX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8263543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Gompertz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'Curvas de crecimiento'!$B$28</c:f>
              <c:strCache>
                <c:ptCount val="1"/>
                <c:pt idx="0">
                  <c:v>Estimado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'Curvas de crecimiento'!$A$29:$A$35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numCache>
            </c:numRef>
          </c:xVal>
          <c:yVal>
            <c:numRef>
              <c:f>'Curvas de crecimiento'!$B$29:$B$35</c:f>
              <c:numCache>
                <c:formatCode>General</c:formatCode>
                <c:ptCount val="7"/>
                <c:pt idx="0">
                  <c:v>43</c:v>
                </c:pt>
                <c:pt idx="1">
                  <c:v>146.88</c:v>
                </c:pt>
                <c:pt idx="2">
                  <c:v>377.55</c:v>
                </c:pt>
                <c:pt idx="3">
                  <c:v>710.83</c:v>
                </c:pt>
                <c:pt idx="4">
                  <c:v>1228.55</c:v>
                </c:pt>
                <c:pt idx="5">
                  <c:v>1650</c:v>
                </c:pt>
                <c:pt idx="6">
                  <c:v>1955.1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D0E-4A93-AD4B-9C7C7DF1B09C}"/>
            </c:ext>
          </c:extLst>
        </c:ser>
        <c:ser>
          <c:idx val="1"/>
          <c:order val="1"/>
          <c:tx>
            <c:strRef>
              <c:f>'Curvas de crecimiento'!$C$28</c:f>
              <c:strCache>
                <c:ptCount val="1"/>
                <c:pt idx="0">
                  <c:v>Predicho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'Curvas de crecimiento'!$A$29:$A$35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numCache>
            </c:numRef>
          </c:xVal>
          <c:yVal>
            <c:numRef>
              <c:f>'Curvas de crecimiento'!$C$29:$C$35</c:f>
              <c:numCache>
                <c:formatCode>General</c:formatCode>
                <c:ptCount val="7"/>
                <c:pt idx="0">
                  <c:v>22.677355025818787</c:v>
                </c:pt>
                <c:pt idx="1">
                  <c:v>123.85811542355613</c:v>
                </c:pt>
                <c:pt idx="2">
                  <c:v>372.15867054901656</c:v>
                </c:pt>
                <c:pt idx="3">
                  <c:v>759.19443926899362</c:v>
                </c:pt>
                <c:pt idx="4">
                  <c:v>1205.0225802542993</c:v>
                </c:pt>
                <c:pt idx="5">
                  <c:v>1625.6038107173799</c:v>
                </c:pt>
                <c:pt idx="6">
                  <c:v>1973.6473831608912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D0E-4A93-AD4B-9C7C7DF1B0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4222544"/>
        <c:axId val="1514220880"/>
      </c:scatterChart>
      <c:valAx>
        <c:axId val="15142225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Semana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514220880"/>
        <c:crosses val="autoZero"/>
        <c:crossBetween val="midCat"/>
      </c:valAx>
      <c:valAx>
        <c:axId val="1514220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Peso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5142225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Logistico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'Curvas de crecimiento'!$B$45</c:f>
              <c:strCache>
                <c:ptCount val="1"/>
                <c:pt idx="0">
                  <c:v>Estimado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'Curvas de crecimiento'!$A$46:$A$52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numCache>
            </c:numRef>
          </c:xVal>
          <c:yVal>
            <c:numRef>
              <c:f>'Curvas de crecimiento'!$B$46:$B$52</c:f>
              <c:numCache>
                <c:formatCode>General</c:formatCode>
                <c:ptCount val="7"/>
                <c:pt idx="0">
                  <c:v>43</c:v>
                </c:pt>
                <c:pt idx="1">
                  <c:v>146.88</c:v>
                </c:pt>
                <c:pt idx="2">
                  <c:v>377.55</c:v>
                </c:pt>
                <c:pt idx="3">
                  <c:v>710.83</c:v>
                </c:pt>
                <c:pt idx="4">
                  <c:v>1228.55</c:v>
                </c:pt>
                <c:pt idx="5">
                  <c:v>1650</c:v>
                </c:pt>
                <c:pt idx="6">
                  <c:v>1955.1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05A-471E-98F7-1CFD8F1A6044}"/>
            </c:ext>
          </c:extLst>
        </c:ser>
        <c:ser>
          <c:idx val="1"/>
          <c:order val="1"/>
          <c:tx>
            <c:strRef>
              <c:f>'Curvas de crecimiento'!$C$45</c:f>
              <c:strCache>
                <c:ptCount val="1"/>
                <c:pt idx="0">
                  <c:v>Predicho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xVal>
            <c:numRef>
              <c:f>'Curvas de crecimiento'!$A$46:$A$52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numCache>
            </c:numRef>
          </c:xVal>
          <c:yVal>
            <c:numRef>
              <c:f>'Curvas de crecimiento'!$C$46:$C$52</c:f>
              <c:numCache>
                <c:formatCode>General</c:formatCode>
                <c:ptCount val="7"/>
                <c:pt idx="0">
                  <c:v>64.476514834531173</c:v>
                </c:pt>
                <c:pt idx="1">
                  <c:v>156.23523285599668</c:v>
                </c:pt>
                <c:pt idx="2">
                  <c:v>356.68577025768866</c:v>
                </c:pt>
                <c:pt idx="3">
                  <c:v>722.98018855716225</c:v>
                </c:pt>
                <c:pt idx="4">
                  <c:v>1216.1706977776262</c:v>
                </c:pt>
                <c:pt idx="5">
                  <c:v>1664.5715646550138</c:v>
                </c:pt>
                <c:pt idx="6">
                  <c:v>1948.2239532200751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05A-471E-98F7-1CFD8F1A60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2756464"/>
        <c:axId val="352758128"/>
      </c:scatterChart>
      <c:valAx>
        <c:axId val="3527564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Semana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52758128"/>
        <c:crosses val="autoZero"/>
        <c:crossBetween val="midCat"/>
      </c:valAx>
      <c:valAx>
        <c:axId val="352758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Peso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527564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6" Type="http://schemas.openxmlformats.org/officeDocument/2006/relationships/image" Target="../media/image3.png"/><Relationship Id="rId5" Type="http://schemas.openxmlformats.org/officeDocument/2006/relationships/chart" Target="../charts/chart3.xml"/><Relationship Id="rId4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552450</xdr:colOff>
      <xdr:row>6</xdr:row>
      <xdr:rowOff>123831</xdr:rowOff>
    </xdr:from>
    <xdr:to>
      <xdr:col>14</xdr:col>
      <xdr:colOff>247650</xdr:colOff>
      <xdr:row>21</xdr:row>
      <xdr:rowOff>9531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32ACC0-1E56-4F85-8F80-4B4EFA41FC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228600</xdr:colOff>
      <xdr:row>3</xdr:row>
      <xdr:rowOff>47625</xdr:rowOff>
    </xdr:from>
    <xdr:to>
      <xdr:col>10</xdr:col>
      <xdr:colOff>228600</xdr:colOff>
      <xdr:row>5</xdr:row>
      <xdr:rowOff>47625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AFEEF41-9BB3-4CF1-BF71-472853AF5D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9850" y="619125"/>
          <a:ext cx="18288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0</xdr:colOff>
      <xdr:row>23</xdr:row>
      <xdr:rowOff>0</xdr:rowOff>
    </xdr:from>
    <xdr:to>
      <xdr:col>11</xdr:col>
      <xdr:colOff>219075</xdr:colOff>
      <xdr:row>23</xdr:row>
      <xdr:rowOff>180975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0C6F62E-9C29-43B8-BD73-69A0F4ACF1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91250" y="4381500"/>
          <a:ext cx="2657475" cy="180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14287</xdr:colOff>
      <xdr:row>25</xdr:row>
      <xdr:rowOff>0</xdr:rowOff>
    </xdr:from>
    <xdr:to>
      <xdr:col>14</xdr:col>
      <xdr:colOff>319087</xdr:colOff>
      <xdr:row>39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60B97B9-1053-47AA-A9A2-C9D8FE1CB9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14287</xdr:colOff>
      <xdr:row>43</xdr:row>
      <xdr:rowOff>47625</xdr:rowOff>
    </xdr:from>
    <xdr:to>
      <xdr:col>14</xdr:col>
      <xdr:colOff>319087</xdr:colOff>
      <xdr:row>57</xdr:row>
      <xdr:rowOff>123825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F73EF70B-15A4-451A-B78F-405F05BE1E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0</xdr:colOff>
      <xdr:row>41</xdr:row>
      <xdr:rowOff>0</xdr:rowOff>
    </xdr:from>
    <xdr:to>
      <xdr:col>10</xdr:col>
      <xdr:colOff>304800</xdr:colOff>
      <xdr:row>43</xdr:row>
      <xdr:rowOff>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6634A38D-8A27-49BE-BB0F-69777176A9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72225" y="7810500"/>
          <a:ext cx="21336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E763E-3BB9-4829-9B39-A5F33B2E7593}">
  <dimension ref="A1:F63"/>
  <sheetViews>
    <sheetView tabSelected="1" workbookViewId="0">
      <selection activeCell="Q59" sqref="Q59"/>
    </sheetView>
  </sheetViews>
  <sheetFormatPr defaultRowHeight="15" x14ac:dyDescent="0.25"/>
  <cols>
    <col min="2" max="2" width="21.7109375" bestFit="1" customWidth="1"/>
    <col min="3" max="3" width="19" bestFit="1" customWidth="1"/>
    <col min="4" max="4" width="15.42578125" customWidth="1"/>
    <col min="5" max="5" width="12" bestFit="1" customWidth="1"/>
    <col min="6" max="6" width="12" customWidth="1"/>
  </cols>
  <sheetData>
    <row r="1" spans="1:6" x14ac:dyDescent="0.25">
      <c r="C1" t="s">
        <v>35</v>
      </c>
      <c r="D1" t="s">
        <v>0</v>
      </c>
      <c r="E1" t="s">
        <v>1</v>
      </c>
    </row>
    <row r="2" spans="1:6" x14ac:dyDescent="0.25">
      <c r="C2">
        <v>2191.9488555286912</v>
      </c>
      <c r="D2">
        <v>-3.4965122448732062</v>
      </c>
      <c r="E2">
        <v>0.9291870969848246</v>
      </c>
    </row>
    <row r="4" spans="1:6" x14ac:dyDescent="0.25">
      <c r="C4" s="6"/>
      <c r="D4" s="6"/>
      <c r="E4" s="8"/>
      <c r="F4" s="8"/>
    </row>
    <row r="8" spans="1:6" x14ac:dyDescent="0.25">
      <c r="A8" s="11" t="s">
        <v>34</v>
      </c>
      <c r="B8" s="11"/>
      <c r="C8" s="11"/>
      <c r="D8" s="11"/>
    </row>
    <row r="9" spans="1:6" x14ac:dyDescent="0.25">
      <c r="C9" t="s">
        <v>2</v>
      </c>
      <c r="D9" t="s">
        <v>3</v>
      </c>
    </row>
    <row r="10" spans="1:6" x14ac:dyDescent="0.25">
      <c r="A10" t="s">
        <v>57</v>
      </c>
      <c r="B10" t="s">
        <v>58</v>
      </c>
      <c r="C10" t="s">
        <v>59</v>
      </c>
      <c r="D10" t="s">
        <v>60</v>
      </c>
    </row>
    <row r="11" spans="1:6" x14ac:dyDescent="0.25">
      <c r="A11">
        <v>0</v>
      </c>
      <c r="B11">
        <v>43</v>
      </c>
      <c r="C11">
        <f>$C$2/(1+EXP(-$D$2-$E$2*A11))</f>
        <v>64.468790932281749</v>
      </c>
      <c r="D11">
        <f>(B11-C11)^2</f>
        <v>460.90898409402303</v>
      </c>
    </row>
    <row r="12" spans="1:6" x14ac:dyDescent="0.25">
      <c r="A12">
        <v>1</v>
      </c>
      <c r="B12">
        <v>146.88</v>
      </c>
      <c r="C12">
        <f t="shared" ref="C12:C16" si="0">$C$2/(1+EXP(-$D$2-$E$2*A12))</f>
        <v>156.22272410949802</v>
      </c>
      <c r="D12">
        <f t="shared" ref="D12:D17" si="1">(B12-C12)^2</f>
        <v>87.286493786195607</v>
      </c>
    </row>
    <row r="13" spans="1:6" x14ac:dyDescent="0.25">
      <c r="A13">
        <v>2</v>
      </c>
      <c r="B13">
        <v>377.55</v>
      </c>
      <c r="C13">
        <f t="shared" si="0"/>
        <v>356.67079985023503</v>
      </c>
      <c r="D13">
        <f t="shared" si="1"/>
        <v>435.94099889394613</v>
      </c>
    </row>
    <row r="14" spans="1:6" x14ac:dyDescent="0.25">
      <c r="A14">
        <v>3</v>
      </c>
      <c r="B14">
        <v>710.83</v>
      </c>
      <c r="C14">
        <f t="shared" si="0"/>
        <v>722.97198691339929</v>
      </c>
      <c r="D14">
        <f t="shared" si="1"/>
        <v>147.42784620515866</v>
      </c>
    </row>
    <row r="15" spans="1:6" x14ac:dyDescent="0.25">
      <c r="A15">
        <v>4</v>
      </c>
      <c r="B15">
        <v>1228.55</v>
      </c>
      <c r="C15">
        <f t="shared" si="0"/>
        <v>1216.175557954462</v>
      </c>
      <c r="D15">
        <f t="shared" si="1"/>
        <v>153.12681593837843</v>
      </c>
    </row>
    <row r="16" spans="1:6" x14ac:dyDescent="0.25">
      <c r="A16">
        <v>5</v>
      </c>
      <c r="B16">
        <v>1650</v>
      </c>
      <c r="C16">
        <f t="shared" si="0"/>
        <v>1664.5781341428758</v>
      </c>
      <c r="D16">
        <f t="shared" si="1"/>
        <v>212.52199508768103</v>
      </c>
    </row>
    <row r="17" spans="1:5" x14ac:dyDescent="0.25">
      <c r="A17">
        <v>6</v>
      </c>
      <c r="B17">
        <v>1955.1</v>
      </c>
      <c r="C17">
        <f>$C$2/(1+EXP(-$D$2-$E$2*A17))</f>
        <v>1948.2189780408205</v>
      </c>
      <c r="D17">
        <f t="shared" si="1"/>
        <v>47.348463202709198</v>
      </c>
    </row>
    <row r="18" spans="1:5" x14ac:dyDescent="0.25">
      <c r="C18" t="s">
        <v>67</v>
      </c>
      <c r="D18">
        <f>SUM(D11:D17)</f>
        <v>1544.5615972080921</v>
      </c>
    </row>
    <row r="22" spans="1:5" x14ac:dyDescent="0.25">
      <c r="C22" t="s">
        <v>35</v>
      </c>
      <c r="D22" t="s">
        <v>0</v>
      </c>
      <c r="E22" t="s">
        <v>1</v>
      </c>
    </row>
    <row r="23" spans="1:5" x14ac:dyDescent="0.25">
      <c r="B23" t="s">
        <v>37</v>
      </c>
      <c r="C23">
        <v>2820.8930012905225</v>
      </c>
      <c r="D23">
        <v>4.8234419303058251</v>
      </c>
      <c r="E23">
        <v>0.4338384342888435</v>
      </c>
    </row>
    <row r="26" spans="1:5" x14ac:dyDescent="0.25">
      <c r="A26" s="11" t="s">
        <v>50</v>
      </c>
      <c r="B26" s="11"/>
      <c r="C26" s="11"/>
      <c r="D26" s="11"/>
    </row>
    <row r="27" spans="1:5" x14ac:dyDescent="0.25">
      <c r="A27" s="9"/>
      <c r="B27" s="9"/>
      <c r="C27" s="9" t="s">
        <v>2</v>
      </c>
      <c r="D27" s="9" t="s">
        <v>3</v>
      </c>
    </row>
    <row r="28" spans="1:5" x14ac:dyDescent="0.25">
      <c r="A28" t="s">
        <v>57</v>
      </c>
      <c r="B28" t="s">
        <v>58</v>
      </c>
      <c r="C28" t="s">
        <v>59</v>
      </c>
      <c r="D28" t="s">
        <v>60</v>
      </c>
    </row>
    <row r="29" spans="1:5" x14ac:dyDescent="0.25">
      <c r="A29">
        <v>0</v>
      </c>
      <c r="B29">
        <v>43</v>
      </c>
      <c r="C29">
        <f>$C$23*(EXP(-$D$23*(EXP(-$E$23*A29))))</f>
        <v>22.677355025818787</v>
      </c>
      <c r="D29">
        <f>($B29-C29)^2</f>
        <v>413.00989874661292</v>
      </c>
    </row>
    <row r="30" spans="1:5" x14ac:dyDescent="0.25">
      <c r="A30">
        <v>1</v>
      </c>
      <c r="B30">
        <v>146.88</v>
      </c>
      <c r="C30">
        <f t="shared" ref="C30:C35" si="2">$C$23*(EXP(-$D$23*(EXP(-$E$23*A30))))</f>
        <v>123.85811542355613</v>
      </c>
      <c r="D30">
        <f t="shared" ref="D30:D35" si="3">($B30-C30)^2</f>
        <v>530.00716945110401</v>
      </c>
    </row>
    <row r="31" spans="1:5" x14ac:dyDescent="0.25">
      <c r="A31">
        <v>2</v>
      </c>
      <c r="B31">
        <v>377.55</v>
      </c>
      <c r="C31">
        <f t="shared" si="2"/>
        <v>372.15867054901656</v>
      </c>
      <c r="D31">
        <f t="shared" si="3"/>
        <v>29.066433249041495</v>
      </c>
    </row>
    <row r="32" spans="1:5" x14ac:dyDescent="0.25">
      <c r="A32">
        <v>3</v>
      </c>
      <c r="B32">
        <v>710.83</v>
      </c>
      <c r="C32">
        <f t="shared" si="2"/>
        <v>759.19443926899362</v>
      </c>
      <c r="D32">
        <f t="shared" si="3"/>
        <v>2339.118985804168</v>
      </c>
    </row>
    <row r="33" spans="1:5" x14ac:dyDescent="0.25">
      <c r="A33">
        <v>4</v>
      </c>
      <c r="B33">
        <v>1228.55</v>
      </c>
      <c r="C33">
        <f t="shared" si="2"/>
        <v>1205.0225802542993</v>
      </c>
      <c r="D33">
        <f t="shared" si="3"/>
        <v>553.53947989038375</v>
      </c>
    </row>
    <row r="34" spans="1:5" x14ac:dyDescent="0.25">
      <c r="A34">
        <v>5</v>
      </c>
      <c r="B34">
        <v>1650</v>
      </c>
      <c r="C34">
        <f t="shared" si="2"/>
        <v>1625.6038107173799</v>
      </c>
      <c r="D34">
        <f t="shared" si="3"/>
        <v>595.17405151342643</v>
      </c>
    </row>
    <row r="35" spans="1:5" x14ac:dyDescent="0.25">
      <c r="A35">
        <v>6</v>
      </c>
      <c r="B35">
        <v>1955.1</v>
      </c>
      <c r="C35">
        <f t="shared" si="2"/>
        <v>1973.6473831608912</v>
      </c>
      <c r="D35">
        <f t="shared" si="3"/>
        <v>344.00542211691362</v>
      </c>
    </row>
    <row r="36" spans="1:5" x14ac:dyDescent="0.25">
      <c r="C36" t="s">
        <v>38</v>
      </c>
      <c r="D36">
        <f>SUM(D29:D35)</f>
        <v>4803.9214407716499</v>
      </c>
    </row>
    <row r="39" spans="1:5" x14ac:dyDescent="0.25">
      <c r="C39" t="s">
        <v>35</v>
      </c>
      <c r="D39" t="s">
        <v>0</v>
      </c>
      <c r="E39" t="s">
        <v>1</v>
      </c>
    </row>
    <row r="40" spans="1:5" x14ac:dyDescent="0.25">
      <c r="B40" t="s">
        <v>42</v>
      </c>
      <c r="C40">
        <v>2191.983902140415</v>
      </c>
      <c r="D40">
        <v>32.996625093117963</v>
      </c>
      <c r="E40">
        <v>0.92914913408595734</v>
      </c>
    </row>
    <row r="43" spans="1:5" x14ac:dyDescent="0.25">
      <c r="A43" s="11" t="s">
        <v>51</v>
      </c>
      <c r="B43" s="11"/>
      <c r="C43" s="11"/>
      <c r="D43" s="11"/>
    </row>
    <row r="44" spans="1:5" x14ac:dyDescent="0.25">
      <c r="A44" s="9"/>
      <c r="B44" s="9"/>
      <c r="C44" s="9" t="s">
        <v>2</v>
      </c>
      <c r="D44" s="9" t="s">
        <v>3</v>
      </c>
    </row>
    <row r="45" spans="1:5" x14ac:dyDescent="0.25">
      <c r="A45" t="s">
        <v>57</v>
      </c>
      <c r="B45" t="s">
        <v>58</v>
      </c>
      <c r="C45" t="s">
        <v>59</v>
      </c>
      <c r="D45" t="s">
        <v>60</v>
      </c>
    </row>
    <row r="46" spans="1:5" x14ac:dyDescent="0.25">
      <c r="A46">
        <v>0</v>
      </c>
      <c r="B46">
        <v>43</v>
      </c>
      <c r="C46">
        <f>$C$40/(1+$D$40*EXP(-$E$40*A46))</f>
        <v>64.476514834531173</v>
      </c>
      <c r="D46">
        <f>($B46-C46)^2</f>
        <v>461.24068943783755</v>
      </c>
    </row>
    <row r="47" spans="1:5" x14ac:dyDescent="0.25">
      <c r="A47">
        <v>1</v>
      </c>
      <c r="B47">
        <v>146.88</v>
      </c>
      <c r="C47">
        <f t="shared" ref="C47:C52" si="4">$C$40/(1+$D$40*EXP(-$E$40*A47))</f>
        <v>156.23523285599668</v>
      </c>
      <c r="D47">
        <f t="shared" ref="D47:D52" si="5">($B47-C47)^2</f>
        <v>87.520381789919981</v>
      </c>
    </row>
    <row r="48" spans="1:5" x14ac:dyDescent="0.25">
      <c r="A48">
        <v>2</v>
      </c>
      <c r="B48">
        <v>377.55</v>
      </c>
      <c r="C48">
        <f t="shared" si="4"/>
        <v>356.68577025768866</v>
      </c>
      <c r="D48">
        <f t="shared" si="5"/>
        <v>435.31608273994959</v>
      </c>
    </row>
    <row r="49" spans="1:4" x14ac:dyDescent="0.25">
      <c r="A49">
        <v>3</v>
      </c>
      <c r="B49">
        <v>710.83</v>
      </c>
      <c r="C49">
        <f t="shared" si="4"/>
        <v>722.98018855716225</v>
      </c>
      <c r="D49">
        <f t="shared" si="5"/>
        <v>147.62708197459551</v>
      </c>
    </row>
    <row r="50" spans="1:4" x14ac:dyDescent="0.25">
      <c r="A50">
        <v>4</v>
      </c>
      <c r="B50">
        <v>1228.55</v>
      </c>
      <c r="C50">
        <f t="shared" si="4"/>
        <v>1216.1706977776262</v>
      </c>
      <c r="D50">
        <f t="shared" si="5"/>
        <v>153.24712351286843</v>
      </c>
    </row>
    <row r="51" spans="1:4" x14ac:dyDescent="0.25">
      <c r="A51">
        <v>5</v>
      </c>
      <c r="B51">
        <v>1650</v>
      </c>
      <c r="C51">
        <f t="shared" si="4"/>
        <v>1664.5715646550138</v>
      </c>
      <c r="D51">
        <f t="shared" si="5"/>
        <v>212.33049649524875</v>
      </c>
    </row>
    <row r="52" spans="1:4" x14ac:dyDescent="0.25">
      <c r="A52">
        <v>6</v>
      </c>
      <c r="B52">
        <v>1955.1</v>
      </c>
      <c r="C52">
        <f t="shared" si="4"/>
        <v>1948.2239532200751</v>
      </c>
      <c r="D52">
        <f t="shared" si="5"/>
        <v>47.280019319713709</v>
      </c>
    </row>
    <row r="53" spans="1:4" x14ac:dyDescent="0.25">
      <c r="C53" t="s">
        <v>38</v>
      </c>
      <c r="D53">
        <f>SUM(D46:D52)</f>
        <v>1544.5618752701337</v>
      </c>
    </row>
    <row r="57" spans="1:4" x14ac:dyDescent="0.25">
      <c r="D57" s="10"/>
    </row>
    <row r="58" spans="1:4" x14ac:dyDescent="0.25">
      <c r="D58" s="10"/>
    </row>
    <row r="59" spans="1:4" x14ac:dyDescent="0.25">
      <c r="D59" s="10"/>
    </row>
    <row r="60" spans="1:4" x14ac:dyDescent="0.25">
      <c r="D60" s="10"/>
    </row>
    <row r="61" spans="1:4" x14ac:dyDescent="0.25">
      <c r="D61" s="10"/>
    </row>
    <row r="62" spans="1:4" x14ac:dyDescent="0.25">
      <c r="D62" s="10"/>
    </row>
    <row r="63" spans="1:4" x14ac:dyDescent="0.25">
      <c r="D63" s="10"/>
    </row>
  </sheetData>
  <mergeCells count="3">
    <mergeCell ref="A8:D8"/>
    <mergeCell ref="A26:D26"/>
    <mergeCell ref="A43:D4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FB0A0-26DD-46B0-A5B8-EEDE62224B70}">
  <dimension ref="A1:G27"/>
  <sheetViews>
    <sheetView showGridLines="0" topLeftCell="A4" workbookViewId="0">
      <selection activeCell="B28" sqref="B28"/>
    </sheetView>
  </sheetViews>
  <sheetFormatPr defaultRowHeight="15" x14ac:dyDescent="0.25"/>
  <cols>
    <col min="1" max="1" width="2.28515625" customWidth="1"/>
    <col min="2" max="2" width="7.7109375" customWidth="1"/>
    <col min="3" max="3" width="9.85546875" bestFit="1" customWidth="1"/>
    <col min="4" max="4" width="13.7109375" bestFit="1" customWidth="1"/>
    <col min="5" max="5" width="12.7109375" bestFit="1" customWidth="1"/>
    <col min="6" max="6" width="7.42578125" bestFit="1" customWidth="1"/>
  </cols>
  <sheetData>
    <row r="1" spans="1:5" x14ac:dyDescent="0.25">
      <c r="A1" s="1" t="s">
        <v>4</v>
      </c>
    </row>
    <row r="2" spans="1:5" x14ac:dyDescent="0.25">
      <c r="A2" s="1" t="s">
        <v>5</v>
      </c>
    </row>
    <row r="3" spans="1:5" x14ac:dyDescent="0.25">
      <c r="A3" s="1" t="s">
        <v>27</v>
      </c>
    </row>
    <row r="4" spans="1:5" x14ac:dyDescent="0.25">
      <c r="A4" s="1" t="s">
        <v>6</v>
      </c>
    </row>
    <row r="5" spans="1:5" x14ac:dyDescent="0.25">
      <c r="A5" s="1" t="s">
        <v>7</v>
      </c>
    </row>
    <row r="6" spans="1:5" x14ac:dyDescent="0.25">
      <c r="A6" s="1"/>
      <c r="B6" t="s">
        <v>8</v>
      </c>
    </row>
    <row r="7" spans="1:5" x14ac:dyDescent="0.25">
      <c r="A7" s="1"/>
      <c r="B7" t="s">
        <v>28</v>
      </c>
    </row>
    <row r="8" spans="1:5" x14ac:dyDescent="0.25">
      <c r="A8" s="1"/>
      <c r="B8" t="s">
        <v>29</v>
      </c>
    </row>
    <row r="9" spans="1:5" x14ac:dyDescent="0.25">
      <c r="A9" s="1" t="s">
        <v>9</v>
      </c>
    </row>
    <row r="10" spans="1:5" x14ac:dyDescent="0.25">
      <c r="B10" t="s">
        <v>10</v>
      </c>
    </row>
    <row r="11" spans="1:5" x14ac:dyDescent="0.25">
      <c r="B11" t="s">
        <v>11</v>
      </c>
    </row>
    <row r="12" spans="1:5" x14ac:dyDescent="0.25">
      <c r="B12" t="s">
        <v>12</v>
      </c>
    </row>
    <row r="14" spans="1:5" ht="15.75" thickBot="1" x14ac:dyDescent="0.3">
      <c r="A14" t="s">
        <v>13</v>
      </c>
    </row>
    <row r="15" spans="1:5" ht="15.75" thickBot="1" x14ac:dyDescent="0.3">
      <c r="B15" s="3" t="s">
        <v>14</v>
      </c>
      <c r="C15" s="3" t="s">
        <v>15</v>
      </c>
      <c r="D15" s="3" t="s">
        <v>16</v>
      </c>
      <c r="E15" s="3" t="s">
        <v>17</v>
      </c>
    </row>
    <row r="16" spans="1:5" ht="15.75" thickBot="1" x14ac:dyDescent="0.3">
      <c r="B16" s="2" t="s">
        <v>22</v>
      </c>
      <c r="C16" s="2" t="s">
        <v>23</v>
      </c>
      <c r="D16" s="5">
        <v>13003675.315694928</v>
      </c>
      <c r="E16" s="5">
        <v>1544.5615972080921</v>
      </c>
    </row>
    <row r="19" spans="1:7" ht="15.75" thickBot="1" x14ac:dyDescent="0.3">
      <c r="A19" t="s">
        <v>18</v>
      </c>
    </row>
    <row r="20" spans="1:7" ht="15.75" thickBot="1" x14ac:dyDescent="0.3">
      <c r="B20" s="3" t="s">
        <v>14</v>
      </c>
      <c r="C20" s="3" t="s">
        <v>15</v>
      </c>
      <c r="D20" s="3" t="s">
        <v>16</v>
      </c>
      <c r="E20" s="3" t="s">
        <v>17</v>
      </c>
      <c r="F20" s="3" t="s">
        <v>19</v>
      </c>
    </row>
    <row r="21" spans="1:7" x14ac:dyDescent="0.25">
      <c r="B21" s="4" t="s">
        <v>54</v>
      </c>
      <c r="C21" s="4" t="s">
        <v>36</v>
      </c>
      <c r="D21" s="6">
        <v>2088</v>
      </c>
      <c r="E21" s="6">
        <v>2191.9488555286912</v>
      </c>
      <c r="F21" s="4" t="s">
        <v>25</v>
      </c>
    </row>
    <row r="22" spans="1:7" x14ac:dyDescent="0.25">
      <c r="B22" s="4" t="s">
        <v>55</v>
      </c>
      <c r="C22" s="4" t="s">
        <v>24</v>
      </c>
      <c r="D22" s="6">
        <v>-3.68</v>
      </c>
      <c r="E22" s="6">
        <v>-3.4965122448732062</v>
      </c>
      <c r="F22" s="4" t="s">
        <v>25</v>
      </c>
    </row>
    <row r="23" spans="1:7" ht="15.75" thickBot="1" x14ac:dyDescent="0.3">
      <c r="B23" s="2" t="s">
        <v>56</v>
      </c>
      <c r="C23" s="2" t="s">
        <v>26</v>
      </c>
      <c r="D23" s="5">
        <v>0.14000000000000001</v>
      </c>
      <c r="E23" s="5">
        <v>0.9291870969848246</v>
      </c>
      <c r="F23" s="2" t="s">
        <v>25</v>
      </c>
    </row>
    <row r="26" spans="1:7" ht="15.75" thickBot="1" x14ac:dyDescent="0.3">
      <c r="A26" t="s">
        <v>20</v>
      </c>
    </row>
    <row r="27" spans="1:7" ht="15.75" thickBot="1" x14ac:dyDescent="0.3">
      <c r="B27" s="7" t="s">
        <v>21</v>
      </c>
      <c r="C27" s="7"/>
      <c r="D27" s="7"/>
      <c r="E27" s="7"/>
      <c r="F27" s="7"/>
      <c r="G27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CAF82-AC9E-4F37-BD4E-835786BD4BA8}">
  <dimension ref="A1:G27"/>
  <sheetViews>
    <sheetView showGridLines="0" workbookViewId="0"/>
  </sheetViews>
  <sheetFormatPr defaultRowHeight="15" x14ac:dyDescent="0.25"/>
  <cols>
    <col min="1" max="1" width="2.28515625" customWidth="1"/>
    <col min="2" max="2" width="4.42578125" bestFit="1" customWidth="1"/>
    <col min="3" max="3" width="15.42578125" bestFit="1" customWidth="1"/>
    <col min="4" max="4" width="13.7109375" bestFit="1" customWidth="1"/>
    <col min="5" max="5" width="12" bestFit="1" customWidth="1"/>
    <col min="6" max="6" width="7.42578125" bestFit="1" customWidth="1"/>
  </cols>
  <sheetData>
    <row r="1" spans="1:5" x14ac:dyDescent="0.25">
      <c r="A1" s="1" t="s">
        <v>4</v>
      </c>
    </row>
    <row r="2" spans="1:5" x14ac:dyDescent="0.25">
      <c r="A2" s="1" t="s">
        <v>61</v>
      </c>
    </row>
    <row r="3" spans="1:5" x14ac:dyDescent="0.25">
      <c r="A3" s="1" t="s">
        <v>62</v>
      </c>
    </row>
    <row r="4" spans="1:5" x14ac:dyDescent="0.25">
      <c r="A4" s="1" t="s">
        <v>6</v>
      </c>
    </row>
    <row r="5" spans="1:5" x14ac:dyDescent="0.25">
      <c r="A5" s="1" t="s">
        <v>7</v>
      </c>
    </row>
    <row r="6" spans="1:5" x14ac:dyDescent="0.25">
      <c r="A6" s="1"/>
      <c r="B6" t="s">
        <v>8</v>
      </c>
    </row>
    <row r="7" spans="1:5" x14ac:dyDescent="0.25">
      <c r="A7" s="1"/>
      <c r="B7" t="s">
        <v>63</v>
      </c>
    </row>
    <row r="8" spans="1:5" x14ac:dyDescent="0.25">
      <c r="A8" s="1"/>
      <c r="B8" t="s">
        <v>64</v>
      </c>
    </row>
    <row r="9" spans="1:5" x14ac:dyDescent="0.25">
      <c r="A9" s="1" t="s">
        <v>9</v>
      </c>
    </row>
    <row r="10" spans="1:5" x14ac:dyDescent="0.25">
      <c r="B10" t="s">
        <v>10</v>
      </c>
    </row>
    <row r="11" spans="1:5" x14ac:dyDescent="0.25">
      <c r="B11" t="s">
        <v>11</v>
      </c>
    </row>
    <row r="12" spans="1:5" x14ac:dyDescent="0.25">
      <c r="B12" t="s">
        <v>12</v>
      </c>
    </row>
    <row r="14" spans="1:5" ht="15.75" thickBot="1" x14ac:dyDescent="0.3">
      <c r="A14" t="s">
        <v>13</v>
      </c>
    </row>
    <row r="15" spans="1:5" ht="15.75" thickBot="1" x14ac:dyDescent="0.3">
      <c r="B15" s="3" t="s">
        <v>14</v>
      </c>
      <c r="C15" s="3" t="s">
        <v>15</v>
      </c>
      <c r="D15" s="3" t="s">
        <v>16</v>
      </c>
      <c r="E15" s="3" t="s">
        <v>17</v>
      </c>
    </row>
    <row r="16" spans="1:5" ht="15.75" thickBot="1" x14ac:dyDescent="0.3">
      <c r="B16" s="2" t="s">
        <v>30</v>
      </c>
      <c r="C16" s="2" t="s">
        <v>65</v>
      </c>
      <c r="D16" s="5">
        <v>7847017.5896528084</v>
      </c>
      <c r="E16" s="5">
        <v>4803.9214407716499</v>
      </c>
    </row>
    <row r="19" spans="1:7" ht="15.75" thickBot="1" x14ac:dyDescent="0.3">
      <c r="A19" t="s">
        <v>18</v>
      </c>
    </row>
    <row r="20" spans="1:7" ht="15.75" thickBot="1" x14ac:dyDescent="0.3">
      <c r="B20" s="3" t="s">
        <v>14</v>
      </c>
      <c r="C20" s="3" t="s">
        <v>15</v>
      </c>
      <c r="D20" s="3" t="s">
        <v>16</v>
      </c>
      <c r="E20" s="3" t="s">
        <v>17</v>
      </c>
      <c r="F20" s="3" t="s">
        <v>19</v>
      </c>
    </row>
    <row r="21" spans="1:7" x14ac:dyDescent="0.25">
      <c r="B21" s="4" t="s">
        <v>31</v>
      </c>
      <c r="C21" s="4" t="s">
        <v>39</v>
      </c>
      <c r="D21" s="6">
        <v>2814</v>
      </c>
      <c r="E21" s="6">
        <v>2820.8930012905225</v>
      </c>
      <c r="F21" s="4" t="s">
        <v>25</v>
      </c>
    </row>
    <row r="22" spans="1:7" x14ac:dyDescent="0.25">
      <c r="B22" s="4" t="s">
        <v>32</v>
      </c>
      <c r="C22" s="4" t="s">
        <v>40</v>
      </c>
      <c r="D22" s="6">
        <v>4.83</v>
      </c>
      <c r="E22" s="6">
        <v>4.8234419303058251</v>
      </c>
      <c r="F22" s="4" t="s">
        <v>25</v>
      </c>
    </row>
    <row r="23" spans="1:7" ht="15.75" thickBot="1" x14ac:dyDescent="0.3">
      <c r="B23" s="2" t="s">
        <v>33</v>
      </c>
      <c r="C23" s="2" t="s">
        <v>41</v>
      </c>
      <c r="D23" s="5">
        <v>0.06</v>
      </c>
      <c r="E23" s="5">
        <v>0.4338384342888435</v>
      </c>
      <c r="F23" s="2" t="s">
        <v>25</v>
      </c>
    </row>
    <row r="26" spans="1:7" ht="15.75" thickBot="1" x14ac:dyDescent="0.3">
      <c r="A26" t="s">
        <v>20</v>
      </c>
    </row>
    <row r="27" spans="1:7" ht="15.75" thickBot="1" x14ac:dyDescent="0.3">
      <c r="B27" s="7" t="s">
        <v>21</v>
      </c>
      <c r="C27" s="7"/>
      <c r="D27" s="7"/>
      <c r="E27" s="7"/>
      <c r="F27" s="7"/>
      <c r="G27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57146-DFCF-450B-BF38-D0D7AAA1E8C9}">
  <dimension ref="A1:G27"/>
  <sheetViews>
    <sheetView showGridLines="0" workbookViewId="0">
      <selection activeCell="K26" sqref="K26"/>
    </sheetView>
  </sheetViews>
  <sheetFormatPr defaultRowHeight="15" x14ac:dyDescent="0.25"/>
  <cols>
    <col min="1" max="1" width="2.28515625" customWidth="1"/>
    <col min="2" max="2" width="4.42578125" bestFit="1" customWidth="1"/>
    <col min="3" max="3" width="15.42578125" bestFit="1" customWidth="1"/>
    <col min="4" max="4" width="13.7109375" bestFit="1" customWidth="1"/>
    <col min="5" max="5" width="12" bestFit="1" customWidth="1"/>
    <col min="6" max="6" width="7.42578125" bestFit="1" customWidth="1"/>
  </cols>
  <sheetData>
    <row r="1" spans="1:5" x14ac:dyDescent="0.25">
      <c r="A1" s="1" t="s">
        <v>4</v>
      </c>
    </row>
    <row r="2" spans="1:5" x14ac:dyDescent="0.25">
      <c r="A2" s="1" t="s">
        <v>61</v>
      </c>
    </row>
    <row r="3" spans="1:5" x14ac:dyDescent="0.25">
      <c r="A3" s="1" t="s">
        <v>66</v>
      </c>
    </row>
    <row r="4" spans="1:5" x14ac:dyDescent="0.25">
      <c r="A4" s="1" t="s">
        <v>6</v>
      </c>
    </row>
    <row r="5" spans="1:5" x14ac:dyDescent="0.25">
      <c r="A5" s="1" t="s">
        <v>7</v>
      </c>
    </row>
    <row r="6" spans="1:5" x14ac:dyDescent="0.25">
      <c r="A6" s="1"/>
      <c r="B6" t="s">
        <v>8</v>
      </c>
    </row>
    <row r="7" spans="1:5" x14ac:dyDescent="0.25">
      <c r="A7" s="1"/>
      <c r="B7" t="s">
        <v>52</v>
      </c>
    </row>
    <row r="8" spans="1:5" x14ac:dyDescent="0.25">
      <c r="A8" s="1"/>
      <c r="B8" t="s">
        <v>53</v>
      </c>
    </row>
    <row r="9" spans="1:5" x14ac:dyDescent="0.25">
      <c r="A9" s="1" t="s">
        <v>9</v>
      </c>
    </row>
    <row r="10" spans="1:5" x14ac:dyDescent="0.25">
      <c r="B10" t="s">
        <v>10</v>
      </c>
    </row>
    <row r="11" spans="1:5" x14ac:dyDescent="0.25">
      <c r="B11" t="s">
        <v>11</v>
      </c>
    </row>
    <row r="12" spans="1:5" x14ac:dyDescent="0.25">
      <c r="B12" t="s">
        <v>12</v>
      </c>
    </row>
    <row r="14" spans="1:5" ht="15.75" thickBot="1" x14ac:dyDescent="0.3">
      <c r="A14" t="s">
        <v>13</v>
      </c>
    </row>
    <row r="15" spans="1:5" ht="15.75" thickBot="1" x14ac:dyDescent="0.3">
      <c r="B15" s="3" t="s">
        <v>14</v>
      </c>
      <c r="C15" s="3" t="s">
        <v>15</v>
      </c>
      <c r="D15" s="3" t="s">
        <v>16</v>
      </c>
      <c r="E15" s="3" t="s">
        <v>17</v>
      </c>
    </row>
    <row r="16" spans="1:5" ht="15.75" thickBot="1" x14ac:dyDescent="0.3">
      <c r="B16" s="2" t="s">
        <v>43</v>
      </c>
      <c r="C16" s="2" t="s">
        <v>65</v>
      </c>
      <c r="D16" s="5">
        <v>14439772.085290365</v>
      </c>
      <c r="E16" s="5">
        <v>2585036.7069613617</v>
      </c>
    </row>
    <row r="19" spans="1:7" ht="15.75" thickBot="1" x14ac:dyDescent="0.3">
      <c r="A19" t="s">
        <v>18</v>
      </c>
    </row>
    <row r="20" spans="1:7" ht="15.75" thickBot="1" x14ac:dyDescent="0.3">
      <c r="B20" s="3" t="s">
        <v>14</v>
      </c>
      <c r="C20" s="3" t="s">
        <v>15</v>
      </c>
      <c r="D20" s="3" t="s">
        <v>16</v>
      </c>
      <c r="E20" s="3" t="s">
        <v>17</v>
      </c>
      <c r="F20" s="3" t="s">
        <v>19</v>
      </c>
    </row>
    <row r="21" spans="1:7" x14ac:dyDescent="0.25">
      <c r="B21" s="4" t="s">
        <v>44</v>
      </c>
      <c r="C21" s="4" t="s">
        <v>45</v>
      </c>
      <c r="D21" s="6">
        <v>2186</v>
      </c>
      <c r="E21" s="6">
        <v>2191.983902140415</v>
      </c>
      <c r="F21" s="4" t="s">
        <v>25</v>
      </c>
    </row>
    <row r="22" spans="1:7" x14ac:dyDescent="0.25">
      <c r="B22" s="4" t="s">
        <v>46</v>
      </c>
      <c r="C22" s="4" t="s">
        <v>47</v>
      </c>
      <c r="D22" s="6">
        <v>0.13</v>
      </c>
      <c r="E22" s="6">
        <v>32.996625093117963</v>
      </c>
      <c r="F22" s="4" t="s">
        <v>25</v>
      </c>
    </row>
    <row r="23" spans="1:7" ht="15.75" thickBot="1" x14ac:dyDescent="0.3">
      <c r="B23" s="2" t="s">
        <v>48</v>
      </c>
      <c r="C23" s="2" t="s">
        <v>49</v>
      </c>
      <c r="D23" s="5">
        <v>33.49</v>
      </c>
      <c r="E23" s="5">
        <v>0.92914913408595734</v>
      </c>
      <c r="F23" s="2" t="s">
        <v>25</v>
      </c>
    </row>
    <row r="26" spans="1:7" ht="15.75" thickBot="1" x14ac:dyDescent="0.3">
      <c r="A26" t="s">
        <v>20</v>
      </c>
    </row>
    <row r="27" spans="1:7" ht="15.75" thickBot="1" x14ac:dyDescent="0.3">
      <c r="B27" s="7" t="s">
        <v>21</v>
      </c>
      <c r="C27" s="7"/>
      <c r="D27" s="7"/>
      <c r="E27" s="7"/>
      <c r="F27" s="7"/>
      <c r="G27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Curvas de crecimiento</vt:lpstr>
      <vt:lpstr>Answer Report WLS</vt:lpstr>
      <vt:lpstr>Answer Report Gompertz</vt:lpstr>
      <vt:lpstr>Answer Report Logistico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Zaira Perez Vazquez</dc:creator>
  <cp:lastModifiedBy>Zaira Perez Vazquez</cp:lastModifiedBy>
  <dcterms:created xsi:type="dcterms:W3CDTF">2021-08-23T04:57:17Z</dcterms:created>
  <dcterms:modified xsi:type="dcterms:W3CDTF">2021-08-23T16:43:27Z</dcterms:modified>
</cp:coreProperties>
</file>